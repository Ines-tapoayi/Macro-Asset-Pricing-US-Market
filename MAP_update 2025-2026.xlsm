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vbaProject.bin" ContentType="application/vnd.ms-office.vbaProject"/>
  <Override PartName="/xl/vbaProjectSignature.bin" ContentType="application/vnd.ms-office.vbaProjectSignature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1.xml" ContentType="application/vnd.ms-office.activeX+xml"/>
  <Override PartName="/xl/activeX/activeX31.xml" ContentType="application/vnd.ms-office.activeX+xml"/>
  <Override PartName="/xl/activeX/activeX31.bin" ContentType="application/vnd.ms-office.activeX"/>
  <Override PartName="/xl/activeX/activeX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2.xml" ContentType="application/vnd.ms-office.activeX+xml"/>
  <Override PartName="/xl/activeX/activeX33.xml" ContentType="application/vnd.ms-office.activeX+xml"/>
  <Override PartName="/xl/activeX/activeX33.bin" ContentType="application/vnd.ms-office.activeX"/>
  <Override PartName="/xl/activeX/activeX2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.xml" ContentType="application/vnd.ms-office.activeX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4.xml" ContentType="application/vnd.ms-office.activeX+xml"/>
  <Override PartName="/xl/activeX/activeX38.xml" ContentType="application/vnd.ms-office.activeX+xml"/>
  <Override PartName="/xl/activeX/activeX38.bin" ContentType="application/vnd.ms-office.activeX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ustomProperty1.bin" ContentType="application/vnd.openxmlformats-officedocument.spreadsheetml.customProperty"/>
  <Override PartName="/xl/activeX/activeX5.xml" ContentType="application/vnd.ms-office.activeX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docProps/app.xml" ContentType="application/vnd.openxmlformats-officedocument.extended-properties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docProps/core.xml" ContentType="application/vnd.openxmlformats-package.core-properties+xml"/>
  <Override PartName="/xl/activeX/activeX9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aceconomics.sharepoint.com/sites/Production/Documents partages/06_ResultSets/02_Emerging/04_Graphs Emergents/2025/"/>
    </mc:Choice>
  </mc:AlternateContent>
  <xr:revisionPtr revIDLastSave="0" documentId="8_{3F41BA25-01BA-4814-AD8E-670112D67BBE}" xr6:coauthVersionLast="47" xr6:coauthVersionMax="47" xr10:uidLastSave="{00000000-0000-0000-0000-000000000000}"/>
  <bookViews>
    <workbookView xWindow="-90" yWindow="-90" windowWidth="19380" windowHeight="11580" activeTab="1" xr2:uid="{00000000-000D-0000-FFFF-FFFF00000000}"/>
  </bookViews>
  <sheets>
    <sheet name="REQUEST_TABLE" sheetId="4" r:id="rId1"/>
    <sheet name="data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" i="5" l="1"/>
  <c r="K1" i="5"/>
  <c r="C1" i="5"/>
  <c r="A1" i="5"/>
  <c r="H1" i="5"/>
  <c r="G1" i="5"/>
  <c r="F1" i="5"/>
  <c r="M1" i="5"/>
  <c r="E1" i="5"/>
  <c r="D1" i="5"/>
  <c r="J1" i="5"/>
  <c r="I1" i="5"/>
  <c r="K14" i="4" l="1"/>
  <c r="K15" i="4"/>
  <c r="K9" i="4"/>
  <c r="K10" i="4"/>
  <c r="K18" i="4"/>
  <c r="K11" i="4"/>
  <c r="K12" i="4"/>
  <c r="K13" i="4"/>
  <c r="K7" i="4"/>
  <c r="K8" i="4"/>
  <c r="K16" i="4"/>
  <c r="K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Catherine DENIS</author>
    <author>fmartin</author>
  </authors>
  <commentList>
    <comment ref="A1" authorId="0" shapeId="0" xr:uid="{E54812F6-057B-4B55-9CBF-470955B44B1C}">
      <text>
        <r>
          <rPr>
            <sz val="9"/>
            <color indexed="81"/>
            <rFont val="Tahoma"/>
            <family val="2"/>
          </rPr>
          <t>=DSGRID("usbd10Y","ry","01/01/1980","-0D","M","RowHeader=true;ColHeader=true;DispSeriesDescription=false;YearlyTSFormat=false;QuarterlyTSFormat=false;Clearself=y","")</t>
        </r>
      </text>
    </comment>
    <comment ref="C1" authorId="0" shapeId="0" xr:uid="{6829AB5B-C296-4DD4-A688-F5E4B38DB9F2}">
      <text>
        <r>
          <rPr>
            <sz val="9"/>
            <color indexed="81"/>
            <rFont val="Tahoma"/>
            <family val="2"/>
          </rPr>
          <t>=DSGRID("ecusd3M","ir","01/01/1980","-0D","M","ColHeader=true;DispSeriesDescription=false;YearlyTSFormat=false;QuarterlyTSFormat=false;Clearself=y","")</t>
        </r>
      </text>
    </comment>
    <comment ref="D1" authorId="0" shapeId="0" xr:uid="{0DD9341F-569F-41DA-8BCC-99DD85CAC3A7}">
      <text>
        <r>
          <rPr>
            <sz val="9"/>
            <color indexed="81"/>
            <rFont val="Tahoma"/>
            <family val="2"/>
          </rPr>
          <t>=DSGRID("totmkus","pi","01/01/1980","-0D","M","ColHeader=true;DispSeriesDescription=false;YearlyTSFormat=false;QuarterlyTSFormat=false;Clearself=y","")</t>
        </r>
      </text>
    </comment>
    <comment ref="E1" authorId="0" shapeId="0" xr:uid="{790FE7AA-A72A-4E25-97CD-9D2E8AA3E32C}">
      <text>
        <r>
          <rPr>
            <sz val="9"/>
            <color indexed="81"/>
            <rFont val="Tahoma"/>
            <family val="2"/>
          </rPr>
          <t>=DSGRID("totmkus","ri","01/01/1980","-0D","M","ColHeader=true;DispSeriesDescription=false;YearlyTSFormat=false;QuarterlyTSFormat=false;Clearself=y","")</t>
        </r>
      </text>
    </comment>
    <comment ref="F1" authorId="0" shapeId="0" xr:uid="{6B13D1B1-AC9C-4147-8CF2-E3788A664AC2}">
      <text>
        <r>
          <rPr>
            <sz val="9"/>
            <color indexed="81"/>
            <rFont val="Tahoma"/>
            <family val="2"/>
          </rPr>
          <t>=DSGRID("totmkus","pe","01/01/1980","-0D","M","ColHeader=true;DispSeriesDescription=false;YearlyTSFormat=false;QuarterlyTSFormat=false;Clearself=y","")</t>
        </r>
      </text>
    </comment>
    <comment ref="G1" authorId="0" shapeId="0" xr:uid="{F1E1BCBC-F2F8-4AF0-AC62-6966899B3A0F}">
      <text>
        <r>
          <rPr>
            <sz val="9"/>
            <color indexed="81"/>
            <rFont val="Tahoma"/>
            <family val="2"/>
          </rPr>
          <t>=DSGRID("totmkus","mv","01/01/1980","-0D","M","ColHeader=true;DispSeriesDescription=false;YearlyTSFormat=false;QuarterlyTSFormat=false;Clearself=y","")</t>
        </r>
      </text>
    </comment>
    <comment ref="H1" authorId="0" shapeId="0" xr:uid="{C1F60462-6870-40FB-AB76-EED7813CE180}">
      <text>
        <r>
          <rPr>
            <sz val="9"/>
            <color indexed="81"/>
            <rFont val="Tahoma"/>
            <family val="2"/>
          </rPr>
          <t>=DSGRID("frbryld","ry","01/01/1980","-0D","M","ColHeader=true;DispSeriesDescription=false;YearlyTSFormat=false;QuarterlyTSFormat=false;Clearself=y","")</t>
        </r>
      </text>
    </comment>
    <comment ref="I1" authorId="0" shapeId="0" xr:uid="{FDDD93F3-B820-4237-AF54-F91A1D645058}">
      <text>
        <r>
          <rPr>
            <sz val="9"/>
            <color indexed="81"/>
            <rFont val="Tahoma"/>
            <family val="2"/>
          </rPr>
          <t>=DSGRID("ecffr3M","ir","01/01/1980","-0D","M","ColHeader=true;DispSeriesDescription=false;YearlyTSFormat=false;QuarterlyTSFormat=false;Clearself=y","")</t>
        </r>
      </text>
    </comment>
    <comment ref="J1" authorId="0" shapeId="0" xr:uid="{A245E2FD-2A99-4641-ACE0-0CAB3040E767}">
      <text>
        <r>
          <rPr>
            <sz val="9"/>
            <color indexed="81"/>
            <rFont val="Tahoma"/>
            <family val="2"/>
          </rPr>
          <t>=DSGRID("totmkfr","pi","01/01/1980","-0D","M","ColHeader=true;DispSeriesDescription=false;YearlyTSFormat=false;QuarterlyTSFormat=false;Clearself=y","")</t>
        </r>
      </text>
    </comment>
    <comment ref="K1" authorId="0" shapeId="0" xr:uid="{0918CC8F-A658-4A30-814D-843122E293EE}">
      <text>
        <r>
          <rPr>
            <b/>
            <sz val="9"/>
            <color indexed="81"/>
            <rFont val="Tahoma"/>
            <family val="2"/>
          </rPr>
          <t>=DSGRID("totmkfr","ri","01/01/1980","-0D","M","ColHeader=true;DispSeriesDescription=false;YearlyTSFormat=false;QuarterlyTSFormat=false;Clearself=y","")</t>
        </r>
      </text>
    </comment>
    <comment ref="L1" authorId="0" shapeId="0" xr:uid="{EB76C8D6-5BD2-4ED6-9B88-5AC71679FD88}">
      <text>
        <r>
          <rPr>
            <b/>
            <sz val="9"/>
            <color indexed="81"/>
            <rFont val="Tahoma"/>
            <family val="2"/>
          </rPr>
          <t>=DSGRID("totmkfr","pe","01/01/1980","-0D","M","ColHeader=true;DispSeriesDescription=false;YearlyTSFormat=false;QuarterlyTSFormat=false;Clearself=y","")</t>
        </r>
      </text>
    </comment>
    <comment ref="M1" authorId="0" shapeId="0" xr:uid="{7995B61B-5395-40A1-B5DF-E8EF340B67C4}">
      <text>
        <r>
          <rPr>
            <b/>
            <sz val="9"/>
            <color indexed="81"/>
            <rFont val="Tahoma"/>
            <family val="2"/>
          </rPr>
          <t>=DSGRID("totmkfr","mv","01/01/1980","-0D","M","ColHeader=true;DispSeriesDescription=false;YearlyTSFormat=false;QuarterlyTSFormat=false;Clearself=y","")</t>
        </r>
      </text>
    </comment>
    <comment ref="N1" authorId="1" shapeId="0" xr:uid="{F05D438D-EF7E-42CF-AD1E-E19F90446F96}">
      <text>
        <r>
          <rPr>
            <sz val="8"/>
            <color indexed="81"/>
            <rFont val="Tahoma"/>
            <family val="2"/>
          </rPr>
          <t>Source: DATASTREAM
04/02/2009 08:01:02
Rows:4984,Cols:1
Request Table</t>
        </r>
      </text>
    </comment>
    <comment ref="O1" authorId="1" shapeId="0" xr:uid="{C4636CD6-D919-4438-AC67-2D900312942C}">
      <text>
        <r>
          <rPr>
            <sz val="8"/>
            <color indexed="81"/>
            <rFont val="Tahoma"/>
            <family val="2"/>
          </rPr>
          <t>Source: DATASTREAM
04/02/2009 08:01:03
Rows:4984,Cols:1
Request Table</t>
        </r>
      </text>
    </comment>
    <comment ref="P1" authorId="1" shapeId="0" xr:uid="{4F382E27-06D6-4AE5-8E14-D4847E3B834B}">
      <text>
        <r>
          <rPr>
            <sz val="8"/>
            <color indexed="81"/>
            <rFont val="Tahoma"/>
            <family val="2"/>
          </rPr>
          <t>Source: DATASTREAM
04/02/2009 08:01:03
Rows:4984,Cols:1
Request Table</t>
        </r>
      </text>
    </comment>
    <comment ref="Q1" authorId="1" shapeId="0" xr:uid="{7085CEB9-097D-4E91-9E4D-1E4D1C2F88FD}">
      <text>
        <r>
          <rPr>
            <sz val="8"/>
            <color indexed="81"/>
            <rFont val="Tahoma"/>
            <family val="2"/>
          </rPr>
          <t>Source: DATASTREAM
04/02/2009 08:01:04
Rows:4984,Cols:1
Request Table</t>
        </r>
      </text>
    </comment>
    <comment ref="R1" authorId="1" shapeId="0" xr:uid="{18BBB2DC-11CC-4AD1-AC97-18D30D703630}">
      <text>
        <r>
          <rPr>
            <sz val="8"/>
            <color indexed="81"/>
            <rFont val="Tahoma"/>
            <family val="2"/>
          </rPr>
          <t>Source: DATASTREAM
04/02/2009 08:01:04
Rows:4984,Cols:1
Request Table</t>
        </r>
      </text>
    </comment>
    <comment ref="S1" authorId="1" shapeId="0" xr:uid="{48E63422-D53D-431D-97C3-FD1CBEE71A5F}">
      <text>
        <r>
          <rPr>
            <sz val="8"/>
            <color indexed="81"/>
            <rFont val="Tahoma"/>
            <family val="2"/>
          </rPr>
          <t>Source: DATASTREAM
04/02/2009 08:01:04
Rows:4984,Cols:1
Request Table</t>
        </r>
      </text>
    </comment>
    <comment ref="T1" authorId="1" shapeId="0" xr:uid="{D1123065-AC45-4CBB-A680-1C0CF5CD2F61}">
      <text>
        <r>
          <rPr>
            <sz val="8"/>
            <color indexed="81"/>
            <rFont val="Tahoma"/>
            <family val="2"/>
          </rPr>
          <t>Source: DATASTREAM
04/02/2009 08:01:05
Rows:4984,Cols:1
Request Table</t>
        </r>
      </text>
    </comment>
    <comment ref="U1" authorId="1" shapeId="0" xr:uid="{13E3D0C7-D5D9-4BA0-803A-6EB56C179479}">
      <text>
        <r>
          <rPr>
            <sz val="8"/>
            <color indexed="81"/>
            <rFont val="Tahoma"/>
            <family val="2"/>
          </rPr>
          <t>Source: DATASTREAM
04/02/2009 08:01:05
Rows:4984,Cols:1
Request Table</t>
        </r>
      </text>
    </comment>
    <comment ref="V1" authorId="1" shapeId="0" xr:uid="{6433031B-8793-41E9-B622-43DA12A2670B}">
      <text>
        <r>
          <rPr>
            <sz val="8"/>
            <color indexed="81"/>
            <rFont val="Tahoma"/>
            <family val="2"/>
          </rPr>
          <t>Source: DATASTREAM
04/02/2009 08:01:06
Rows:4984,Cols:1
Request Table</t>
        </r>
      </text>
    </comment>
    <comment ref="W1" authorId="1" shapeId="0" xr:uid="{0EB00F4E-93A5-4A76-9A66-B3A2FB8312E4}">
      <text>
        <r>
          <rPr>
            <sz val="8"/>
            <color indexed="81"/>
            <rFont val="Tahoma"/>
            <family val="2"/>
          </rPr>
          <t>Source: DATASTREAM
04/02/2009 08:01:06
Rows:4984,Cols:1
Request Table</t>
        </r>
      </text>
    </comment>
    <comment ref="X1" authorId="1" shapeId="0" xr:uid="{B40D02C1-DC89-4E2B-BADD-07FFB88144A6}">
      <text>
        <r>
          <rPr>
            <sz val="8"/>
            <color indexed="81"/>
            <rFont val="Tahoma"/>
            <family val="2"/>
          </rPr>
          <t>Source: DATASTREAM
04/02/2009 08:01:07
Rows:4984,Cols:1
Request Table</t>
        </r>
      </text>
    </comment>
    <comment ref="Y1" authorId="1" shapeId="0" xr:uid="{5AF43D07-3D06-4364-B912-12C97BAA294F}">
      <text>
        <r>
          <rPr>
            <sz val="8"/>
            <color indexed="81"/>
            <rFont val="Tahoma"/>
            <family val="2"/>
          </rPr>
          <t>Source: DATASTREAM
04/02/2009 08:01:07
Rows:4984,Cols:1
Request Table</t>
        </r>
      </text>
    </comment>
    <comment ref="AA1" authorId="1" shapeId="0" xr:uid="{E2F598F6-F678-469F-8D2B-797289F15630}">
      <text>
        <r>
          <rPr>
            <sz val="8"/>
            <color indexed="81"/>
            <rFont val="Tahoma"/>
            <family val="2"/>
          </rPr>
          <t>Source: DATASTREAM
04/02/2009 08:01:07
Rows:4984,Cols:1
Request Table</t>
        </r>
      </text>
    </comment>
    <comment ref="AB1" authorId="1" shapeId="0" xr:uid="{9C9A0EC9-E5DC-470C-91C3-6867CD96E559}">
      <text>
        <r>
          <rPr>
            <sz val="8"/>
            <color indexed="81"/>
            <rFont val="Tahoma"/>
            <family val="2"/>
          </rPr>
          <t>Source: DATASTREAM
04/02/2009 08:01:08
Rows:4984,Cols:1
Request Table</t>
        </r>
      </text>
    </comment>
    <comment ref="AC1" authorId="1" shapeId="0" xr:uid="{3B8ABA9C-9597-4187-987D-F6A0DBC52B4D}">
      <text>
        <r>
          <rPr>
            <sz val="8"/>
            <color indexed="81"/>
            <rFont val="Tahoma"/>
            <family val="2"/>
          </rPr>
          <t>Source: DATASTREAM
04/02/2009 08:01:08
Rows:4984,Cols:1
Request Table</t>
        </r>
      </text>
    </comment>
    <comment ref="AD1" authorId="1" shapeId="0" xr:uid="{EDAE99EE-DBBA-4D7E-AC1B-6FF459304A0D}">
      <text>
        <r>
          <rPr>
            <sz val="8"/>
            <color indexed="81"/>
            <rFont val="Tahoma"/>
            <family val="2"/>
          </rPr>
          <t>Source: DATASTREAM
04/02/2009 08:01:09
Rows:4984,Cols:1
Request Table</t>
        </r>
      </text>
    </comment>
    <comment ref="AE1" authorId="1" shapeId="0" xr:uid="{499B49B3-1ACC-4674-AF6C-0D4DFE3249FE}">
      <text>
        <r>
          <rPr>
            <sz val="8"/>
            <color indexed="81"/>
            <rFont val="Tahoma"/>
            <family val="2"/>
          </rPr>
          <t>Source: DATASTREAM
04/02/2009 08:01:09
Rows:4984,Cols:1
Request Table</t>
        </r>
      </text>
    </comment>
    <comment ref="AF1" authorId="1" shapeId="0" xr:uid="{0F21D707-1DF8-4F09-A0BB-30D9390F5C80}">
      <text>
        <r>
          <rPr>
            <sz val="8"/>
            <color indexed="81"/>
            <rFont val="Tahoma"/>
            <family val="2"/>
          </rPr>
          <t>Source: DATASTREAM
04/02/2009 08:01:10
Rows:4984,Cols:1
Request Table</t>
        </r>
      </text>
    </comment>
    <comment ref="AG1" authorId="1" shapeId="0" xr:uid="{3DC03BB8-2FDE-4B62-A2D4-FD5209651B78}">
      <text>
        <r>
          <rPr>
            <sz val="8"/>
            <color indexed="81"/>
            <rFont val="Tahoma"/>
            <family val="2"/>
          </rPr>
          <t>Source: DATASTREAM
04/02/2009 08:01:10
Rows:4984,Cols:1
Request Table</t>
        </r>
      </text>
    </comment>
    <comment ref="AH1" authorId="1" shapeId="0" xr:uid="{91035398-7FD7-4E90-B7E9-4E68EF18C9BA}">
      <text>
        <r>
          <rPr>
            <sz val="8"/>
            <color indexed="81"/>
            <rFont val="Tahoma"/>
            <family val="2"/>
          </rPr>
          <t>Source: DATASTREAM
04/02/2009 08:01:10
Rows:4984,Cols:1
Request Table</t>
        </r>
      </text>
    </comment>
    <comment ref="AI1" authorId="1" shapeId="0" xr:uid="{8487C9E0-A966-4397-8F10-C6BF7E387BDA}">
      <text>
        <r>
          <rPr>
            <sz val="8"/>
            <color indexed="81"/>
            <rFont val="Tahoma"/>
            <family val="2"/>
          </rPr>
          <t>Source: DATASTREAM
04/02/2009 08:01:11
Rows:4984,Cols:1
Request Table</t>
        </r>
      </text>
    </comment>
    <comment ref="AJ1" authorId="1" shapeId="0" xr:uid="{ADE8CF1D-B2D2-49CF-9C1C-0FCA5DDCEEFA}">
      <text>
        <r>
          <rPr>
            <sz val="8"/>
            <color indexed="81"/>
            <rFont val="Tahoma"/>
            <family val="2"/>
          </rPr>
          <t>Source: DATASTREAM
04/02/2009 08:01:11
Rows:4984,Cols:1
Request Table</t>
        </r>
      </text>
    </comment>
    <comment ref="AK1" authorId="1" shapeId="0" xr:uid="{3641DAD9-D6D8-4BEB-BF1B-367B9BD3A0F3}">
      <text>
        <r>
          <rPr>
            <sz val="8"/>
            <color indexed="81"/>
            <rFont val="Tahoma"/>
            <family val="2"/>
          </rPr>
          <t>Source: DATASTREAM
04/02/2009 08:01:12
Rows:4984,Cols:1
Request Table</t>
        </r>
      </text>
    </comment>
    <comment ref="AL1" authorId="1" shapeId="0" xr:uid="{DF60B5ED-D895-482E-988B-A24B5D86F4C1}">
      <text>
        <r>
          <rPr>
            <sz val="8"/>
            <color indexed="81"/>
            <rFont val="Tahoma"/>
            <family val="2"/>
          </rPr>
          <t>Source: DATASTREAM
04/02/2009 08:01:12
Rows:4984,Cols:1
Request Table</t>
        </r>
      </text>
    </comment>
    <comment ref="AM1" authorId="1" shapeId="0" xr:uid="{6525F875-9E56-482A-B1BB-3C66DF48A2CA}">
      <text>
        <r>
          <rPr>
            <sz val="8"/>
            <color indexed="81"/>
            <rFont val="Tahoma"/>
            <family val="2"/>
          </rPr>
          <t>Source: DATASTREAM
04/02/2009 08:01:13
Rows:4984,Cols:1
Request Table</t>
        </r>
      </text>
    </comment>
    <comment ref="AN1" authorId="1" shapeId="0" xr:uid="{CC1D2E78-E3E3-4CED-A612-FD89CC2EF253}">
      <text>
        <r>
          <rPr>
            <sz val="8"/>
            <color indexed="81"/>
            <rFont val="Tahoma"/>
            <family val="2"/>
          </rPr>
          <t>Source: DATASTREAM
04/02/2009 08:01:13
Rows:4984,Cols:1
Request Table</t>
        </r>
      </text>
    </comment>
    <comment ref="AO1" authorId="1" shapeId="0" xr:uid="{9E76F440-F5CC-4A9B-B684-7478D7E53D4A}">
      <text>
        <r>
          <rPr>
            <sz val="8"/>
            <color indexed="81"/>
            <rFont val="Tahoma"/>
            <family val="2"/>
          </rPr>
          <t>Source: DATASTREAM
04/02/2009 08:01:13
Rows:4984,Cols:1
Request Table</t>
        </r>
      </text>
    </comment>
    <comment ref="AP1" authorId="1" shapeId="0" xr:uid="{EB9A4F1F-3BD1-40FA-9C3E-5ACAA9929FAD}">
      <text>
        <r>
          <rPr>
            <sz val="8"/>
            <color indexed="81"/>
            <rFont val="Tahoma"/>
            <family val="2"/>
          </rPr>
          <t>Source: DATASTREAM
04/02/2009 08:01:14
Rows:4984,Cols:1
Request Table</t>
        </r>
      </text>
    </comment>
    <comment ref="AQ1" authorId="1" shapeId="0" xr:uid="{4D6BD370-B654-4D0F-8DD2-93242C7FEAE1}">
      <text>
        <r>
          <rPr>
            <sz val="8"/>
            <color indexed="81"/>
            <rFont val="Tahoma"/>
            <family val="2"/>
          </rPr>
          <t>Source: DATASTREAM
04/02/2009 08:01:14
Rows:4984,Cols:1
Request Table</t>
        </r>
      </text>
    </comment>
    <comment ref="AR1" authorId="1" shapeId="0" xr:uid="{4753B645-6015-4912-B8B8-68F69BCFC4DB}">
      <text>
        <r>
          <rPr>
            <sz val="8"/>
            <color indexed="81"/>
            <rFont val="Tahoma"/>
            <family val="2"/>
          </rPr>
          <t>Source: DATASTREAM
04/02/2009 08:01:15
Rows:4984,Cols:1
Request Table</t>
        </r>
      </text>
    </comment>
    <comment ref="AS1" authorId="1" shapeId="0" xr:uid="{1C32EC36-26E3-495D-BEFB-67564F5D4622}">
      <text>
        <r>
          <rPr>
            <sz val="8"/>
            <color indexed="81"/>
            <rFont val="Tahoma"/>
            <family val="2"/>
          </rPr>
          <t>Source: DATASTREAM
04/02/2009 08:01:15
Rows:4984,Cols:1
Request Table</t>
        </r>
      </text>
    </comment>
    <comment ref="AT1" authorId="1" shapeId="0" xr:uid="{A9FDBEB5-CA07-43E9-A7F8-2842F7114840}">
      <text>
        <r>
          <rPr>
            <sz val="8"/>
            <color indexed="81"/>
            <rFont val="Tahoma"/>
            <family val="2"/>
          </rPr>
          <t>Source: DATASTREAM
04/02/2009 08:01:15
Rows:4984,Cols:1
Request Table</t>
        </r>
      </text>
    </comment>
    <comment ref="AU1" authorId="1" shapeId="0" xr:uid="{888F738B-44C8-48CE-B2BE-226F21A9375A}">
      <text>
        <r>
          <rPr>
            <sz val="8"/>
            <color indexed="81"/>
            <rFont val="Tahoma"/>
            <family val="2"/>
          </rPr>
          <t>Source: DATASTREAM
04/02/2009 08:01:16
Rows:4984,Cols:1
Request Table</t>
        </r>
      </text>
    </comment>
    <comment ref="AV1" authorId="1" shapeId="0" xr:uid="{F697C0C0-D266-455C-8395-FDED68A7314A}">
      <text>
        <r>
          <rPr>
            <sz val="8"/>
            <color indexed="81"/>
            <rFont val="Tahoma"/>
            <family val="2"/>
          </rPr>
          <t>Source: DATASTREAM
04/02/2009 08:01:16
Rows:4984,Cols:1
Request Table</t>
        </r>
      </text>
    </comment>
    <comment ref="AW1" authorId="1" shapeId="0" xr:uid="{0385C6CC-8485-4146-B6B1-7253E77DA4A4}">
      <text>
        <r>
          <rPr>
            <sz val="8"/>
            <color indexed="81"/>
            <rFont val="Tahoma"/>
            <family val="2"/>
          </rPr>
          <t>Source: DATASTREAM
04/02/2009 08:01:17
Rows:4984,Cols:1
Request Table</t>
        </r>
      </text>
    </comment>
    <comment ref="AX1" authorId="1" shapeId="0" xr:uid="{E0B18B92-B2DE-4EDB-84E4-061413528189}">
      <text>
        <r>
          <rPr>
            <sz val="8"/>
            <color indexed="81"/>
            <rFont val="Tahoma"/>
            <family val="2"/>
          </rPr>
          <t>Source: DATASTREAM
04/02/2009 08:01:17
Rows:4984,Cols:1
Request Table</t>
        </r>
      </text>
    </comment>
    <comment ref="AY1" authorId="1" shapeId="0" xr:uid="{BC0EB7A5-7244-416E-BA82-7FD5681D5BD1}">
      <text>
        <r>
          <rPr>
            <sz val="8"/>
            <color indexed="81"/>
            <rFont val="Tahoma"/>
            <family val="2"/>
          </rPr>
          <t>Source: DATASTREAM
04/02/2009 08:01:18
Rows:4984,Cols:1
Request Table</t>
        </r>
      </text>
    </comment>
    <comment ref="AZ1" authorId="1" shapeId="0" xr:uid="{75309A2F-2E84-4632-8637-78CFAFD62427}">
      <text>
        <r>
          <rPr>
            <sz val="8"/>
            <color indexed="81"/>
            <rFont val="Tahoma"/>
            <family val="2"/>
          </rPr>
          <t>Source: DATASTREAM
04/02/2009 08:01:18
Rows:4984,Cols:1
Request Table</t>
        </r>
      </text>
    </comment>
    <comment ref="BA1" authorId="1" shapeId="0" xr:uid="{6FDACC6D-6E3D-4B34-B112-893C7807EA56}">
      <text>
        <r>
          <rPr>
            <sz val="8"/>
            <color indexed="81"/>
            <rFont val="Tahoma"/>
            <family val="2"/>
          </rPr>
          <t>Source: DATASTREAM
04/02/2009 08:01:19
Rows:4984,Cols:1
Request Table</t>
        </r>
      </text>
    </comment>
    <comment ref="BB1" authorId="1" shapeId="0" xr:uid="{A7C18A7E-3061-4A55-A409-D3510A604BD7}">
      <text>
        <r>
          <rPr>
            <sz val="8"/>
            <color indexed="81"/>
            <rFont val="Tahoma"/>
            <family val="2"/>
          </rPr>
          <t>Source: DATASTREAM
04/02/2009 08:01:19
Rows:4984,Cols:1
Request Table</t>
        </r>
      </text>
    </comment>
    <comment ref="BC1" authorId="1" shapeId="0" xr:uid="{EB7F14C0-94BA-4D58-8150-996BCC2FAC1A}">
      <text>
        <r>
          <rPr>
            <sz val="8"/>
            <color indexed="81"/>
            <rFont val="Tahoma"/>
            <family val="2"/>
          </rPr>
          <t>Source: DATASTREAM
04/02/2009 08:01:19
Rows:4984,Cols:1
Request Table</t>
        </r>
      </text>
    </comment>
    <comment ref="BD1" authorId="1" shapeId="0" xr:uid="{494DC2D3-109C-4FF6-8CA9-CF5C6B59837F}">
      <text>
        <r>
          <rPr>
            <sz val="8"/>
            <color indexed="81"/>
            <rFont val="Tahoma"/>
            <family val="2"/>
          </rPr>
          <t>Source: DATASTREAM
04/02/2009 08:01:20
Rows:4984,Cols:1
Request Table</t>
        </r>
      </text>
    </comment>
    <comment ref="BE1" authorId="1" shapeId="0" xr:uid="{817B229A-A7E7-4832-8148-0C2EAE4C1418}">
      <text>
        <r>
          <rPr>
            <sz val="8"/>
            <color indexed="81"/>
            <rFont val="Tahoma"/>
            <family val="2"/>
          </rPr>
          <t>Source: DATASTREAM
04/02/2009 08:01:20
Rows:4984,Cols:1
Request Table</t>
        </r>
      </text>
    </comment>
    <comment ref="BF1" authorId="1" shapeId="0" xr:uid="{E90A1F22-AC82-4261-92E5-597D74D1EA20}">
      <text>
        <r>
          <rPr>
            <sz val="8"/>
            <color indexed="81"/>
            <rFont val="Tahoma"/>
            <family val="2"/>
          </rPr>
          <t>Source: DATASTREAM
04/02/2009 08:01:21
Rows:4984,Cols:1
Request Table</t>
        </r>
      </text>
    </comment>
    <comment ref="BG1" authorId="1" shapeId="0" xr:uid="{AB7EBFD2-277E-4E23-A4EF-F7269542A394}">
      <text>
        <r>
          <rPr>
            <sz val="8"/>
            <color indexed="81"/>
            <rFont val="Tahoma"/>
            <family val="2"/>
          </rPr>
          <t>Source: DATASTREAM
04/02/2009 08:01:21
Rows:4984,Cols:1
Request Table</t>
        </r>
      </text>
    </comment>
    <comment ref="BH1" authorId="1" shapeId="0" xr:uid="{6DB295AD-0B92-4965-8C48-C896D3631E39}">
      <text>
        <r>
          <rPr>
            <sz val="8"/>
            <color indexed="81"/>
            <rFont val="Tahoma"/>
            <family val="2"/>
          </rPr>
          <t>Source: DATASTREAM
04/02/2009 08:01:22
Rows:4984,Cols:1
Request Table</t>
        </r>
      </text>
    </comment>
    <comment ref="BI1" authorId="1" shapeId="0" xr:uid="{128F30E7-A1F1-4326-9491-30E1C2138894}">
      <text>
        <r>
          <rPr>
            <sz val="8"/>
            <color indexed="81"/>
            <rFont val="Tahoma"/>
            <family val="2"/>
          </rPr>
          <t>Source: DATASTREAM
04/02/2009 08:01:22
Rows:4984,Cols:1
Request Table</t>
        </r>
      </text>
    </comment>
    <comment ref="BJ1" authorId="1" shapeId="0" xr:uid="{70984C66-57DC-4E2F-AB0A-15767AA1A8C3}">
      <text>
        <r>
          <rPr>
            <sz val="8"/>
            <color indexed="81"/>
            <rFont val="Tahoma"/>
            <family val="2"/>
          </rPr>
          <t>Source: DATASTREAM
04/02/2009 08:01:22
Rows:4984,Cols:1
Request Table</t>
        </r>
      </text>
    </comment>
    <comment ref="BK1" authorId="1" shapeId="0" xr:uid="{DEF8E7D1-687B-4475-84D8-1C0E7095A343}">
      <text>
        <r>
          <rPr>
            <sz val="8"/>
            <color indexed="81"/>
            <rFont val="Tahoma"/>
            <family val="2"/>
          </rPr>
          <t>Source: DATASTREAM
04/02/2009 08:01:23
Rows:4984,Cols:1
Request Table</t>
        </r>
      </text>
    </comment>
    <comment ref="BL1" authorId="1" shapeId="0" xr:uid="{29A94AD2-5679-4183-BF85-0C1E180127D2}">
      <text>
        <r>
          <rPr>
            <sz val="8"/>
            <color indexed="81"/>
            <rFont val="Tahoma"/>
            <family val="2"/>
          </rPr>
          <t>Source: DATASTREAM
04/02/2009 08:01:23
Rows:4984,Cols:1
Request Table</t>
        </r>
      </text>
    </comment>
    <comment ref="BM1" authorId="1" shapeId="0" xr:uid="{D05543F5-F8B7-4786-87DC-06B5634F34C9}">
      <text>
        <r>
          <rPr>
            <sz val="8"/>
            <color indexed="81"/>
            <rFont val="Tahoma"/>
            <family val="2"/>
          </rPr>
          <t>Source: DATASTREAM
04/02/2009 08:01:24
Rows:4984,Cols:1
Request Table</t>
        </r>
      </text>
    </comment>
    <comment ref="BN1" authorId="1" shapeId="0" xr:uid="{A65970E9-20DB-4B16-ABBD-D9B69F616588}">
      <text>
        <r>
          <rPr>
            <sz val="8"/>
            <color indexed="81"/>
            <rFont val="Tahoma"/>
            <family val="2"/>
          </rPr>
          <t>Source: DATASTREAM
04/02/2009 08:01:24
Rows:4984,Cols:1
Request Table</t>
        </r>
      </text>
    </comment>
    <comment ref="BO1" authorId="1" shapeId="0" xr:uid="{E13AC10D-7D53-44BF-8BCD-A793BD79F449}">
      <text>
        <r>
          <rPr>
            <sz val="8"/>
            <color indexed="81"/>
            <rFont val="Tahoma"/>
            <family val="2"/>
          </rPr>
          <t>Source: DATASTREAM
04/02/2009 08:01:24
Rows:4984,Cols:1
Request Table</t>
        </r>
      </text>
    </comment>
    <comment ref="BP1" authorId="1" shapeId="0" xr:uid="{47886D3F-9B70-4046-B93E-14D6BDC34525}">
      <text>
        <r>
          <rPr>
            <sz val="8"/>
            <color indexed="81"/>
            <rFont val="Tahoma"/>
            <family val="2"/>
          </rPr>
          <t>Source: DATASTREAM
04/02/2009 08:01:25
Rows:4984,Cols:1
Request Table</t>
        </r>
      </text>
    </comment>
    <comment ref="BQ1" authorId="1" shapeId="0" xr:uid="{089B9C1F-0497-4200-8A77-97DF13E77174}">
      <text>
        <r>
          <rPr>
            <sz val="8"/>
            <color indexed="81"/>
            <rFont val="Tahoma"/>
            <family val="2"/>
          </rPr>
          <t>Source: DATASTREAM
04/02/2009 08:01:25
Rows:4984,Cols:1
Request Table</t>
        </r>
      </text>
    </comment>
    <comment ref="BR1" authorId="1" shapeId="0" xr:uid="{B1AA16CB-7B6F-4D86-A682-0E5C4936AA0C}">
      <text>
        <r>
          <rPr>
            <sz val="8"/>
            <color indexed="81"/>
            <rFont val="Tahoma"/>
            <family val="2"/>
          </rPr>
          <t>Source: DATASTREAM
04/02/2009 08:01:26
Rows:4984,Cols:1
Request Table</t>
        </r>
      </text>
    </comment>
    <comment ref="BS1" authorId="1" shapeId="0" xr:uid="{7780F838-913B-4B75-ACC3-59C657D02752}">
      <text>
        <r>
          <rPr>
            <sz val="8"/>
            <color indexed="81"/>
            <rFont val="Tahoma"/>
            <family val="2"/>
          </rPr>
          <t>Source: DATASTREAM
04/02/2009 08:01:26
Rows:4984,Cols:1
Request Table</t>
        </r>
      </text>
    </comment>
    <comment ref="BT1" authorId="1" shapeId="0" xr:uid="{D674C21B-5A96-40F8-A7EF-19461104CB24}">
      <text>
        <r>
          <rPr>
            <sz val="8"/>
            <color indexed="81"/>
            <rFont val="Tahoma"/>
            <family val="2"/>
          </rPr>
          <t>Source: DATASTREAM
04/02/2009 08:01:27
Rows:4984,Cols:1
Request Table</t>
        </r>
      </text>
    </comment>
    <comment ref="BU1" authorId="1" shapeId="0" xr:uid="{F77BD09F-834E-4EB5-BC1F-C9501015DC3F}">
      <text>
        <r>
          <rPr>
            <sz val="8"/>
            <color indexed="81"/>
            <rFont val="Tahoma"/>
            <family val="2"/>
          </rPr>
          <t>Source: DATASTREAM
04/02/2009 08:01:27
Rows:4984,Cols:1
Request Table</t>
        </r>
      </text>
    </comment>
    <comment ref="BV1" authorId="1" shapeId="0" xr:uid="{B1C937E8-C016-4BFF-BD7A-B45B1B7E5882}">
      <text>
        <r>
          <rPr>
            <sz val="8"/>
            <color indexed="81"/>
            <rFont val="Tahoma"/>
            <family val="2"/>
          </rPr>
          <t>Source: DATASTREAM
04/02/2009 08:01:28
Rows:4984,Cols:1
Request Table</t>
        </r>
      </text>
    </comment>
    <comment ref="BW1" authorId="1" shapeId="0" xr:uid="{B5A48765-BD28-41F6-B32A-47FA251A0DB1}">
      <text>
        <r>
          <rPr>
            <sz val="8"/>
            <color indexed="81"/>
            <rFont val="Tahoma"/>
            <family val="2"/>
          </rPr>
          <t>Source: DATASTREAM
04/02/2009 08:01:28
Rows:4984,Cols:1
Request Table</t>
        </r>
      </text>
    </comment>
    <comment ref="BX1" authorId="1" shapeId="0" xr:uid="{30F1D237-AC5C-4447-AA62-34154ACAA6C2}">
      <text>
        <r>
          <rPr>
            <sz val="8"/>
            <color indexed="81"/>
            <rFont val="Tahoma"/>
            <family val="2"/>
          </rPr>
          <t>Source: DATASTREAM
04/02/2009 08:01:28
Rows:4984,Cols:1
Request Table</t>
        </r>
      </text>
    </comment>
    <comment ref="BY1" authorId="1" shapeId="0" xr:uid="{ACC45C5D-88E5-487F-90F9-0B59096C8177}">
      <text>
        <r>
          <rPr>
            <sz val="8"/>
            <color indexed="81"/>
            <rFont val="Tahoma"/>
            <family val="2"/>
          </rPr>
          <t>Source: DATASTREAM
04/02/2009 08:01:29
Rows:4984,Cols:1
Request Table</t>
        </r>
      </text>
    </comment>
    <comment ref="BZ1" authorId="1" shapeId="0" xr:uid="{DA2D2ED9-FEE2-4CC8-9891-096844F7A739}">
      <text>
        <r>
          <rPr>
            <sz val="8"/>
            <color indexed="81"/>
            <rFont val="Tahoma"/>
            <family val="2"/>
          </rPr>
          <t>Source: DATASTREAM
04/02/2009 08:01:29
Rows:4984,Cols:1
Request Table</t>
        </r>
      </text>
    </comment>
    <comment ref="CA1" authorId="1" shapeId="0" xr:uid="{EF6E163D-B3FF-4EF7-8DF9-424F9B4C0CDB}">
      <text>
        <r>
          <rPr>
            <sz val="8"/>
            <color indexed="81"/>
            <rFont val="Tahoma"/>
            <family val="2"/>
          </rPr>
          <t>Source: DATASTREAM
04/02/2009 08:01:30
Rows:4984,Cols:1
Request Table</t>
        </r>
      </text>
    </comment>
    <comment ref="CB1" authorId="1" shapeId="0" xr:uid="{6C54F882-9389-4CBB-9CE8-14D812108B1D}">
      <text>
        <r>
          <rPr>
            <sz val="8"/>
            <color indexed="81"/>
            <rFont val="Tahoma"/>
            <family val="2"/>
          </rPr>
          <t>Source: DATASTREAM
04/02/2009 08:01:30
Rows:4984,Cols:1
Request Table</t>
        </r>
      </text>
    </comment>
    <comment ref="CC1" authorId="1" shapeId="0" xr:uid="{1EBE284B-2EF0-443D-9F0A-A5C43917E5A2}">
      <text>
        <r>
          <rPr>
            <sz val="8"/>
            <color indexed="81"/>
            <rFont val="Tahoma"/>
            <family val="2"/>
          </rPr>
          <t>Source: DATASTREAM
04/02/2009 08:01:31
Rows:4984,Cols:1
Request Table</t>
        </r>
      </text>
    </comment>
    <comment ref="CD1" authorId="1" shapeId="0" xr:uid="{FA8ABCDD-8101-42BA-8426-46C61F4428ED}">
      <text>
        <r>
          <rPr>
            <sz val="8"/>
            <color indexed="81"/>
            <rFont val="Tahoma"/>
            <family val="2"/>
          </rPr>
          <t>Source: DATASTREAM
04/02/2009 08:01:31
Rows:4984,Cols:1
Request Table</t>
        </r>
      </text>
    </comment>
    <comment ref="CE1" authorId="1" shapeId="0" xr:uid="{614A615A-B101-48B4-BCB3-48299825A04B}">
      <text>
        <r>
          <rPr>
            <sz val="8"/>
            <color indexed="81"/>
            <rFont val="Tahoma"/>
            <family val="2"/>
          </rPr>
          <t>Source: DATASTREAM
04/02/2009 08:01:31
Rows:4984,Cols:1
Request Table</t>
        </r>
      </text>
    </comment>
    <comment ref="CF1" authorId="1" shapeId="0" xr:uid="{0BF354E0-FCA3-4A18-BCF1-F268D3B5EDB2}">
      <text>
        <r>
          <rPr>
            <sz val="8"/>
            <color indexed="81"/>
            <rFont val="Tahoma"/>
            <family val="2"/>
          </rPr>
          <t>Source: DATASTREAM
04/02/2009 08:01:32
Rows:4984,Cols:1
Request Table</t>
        </r>
      </text>
    </comment>
    <comment ref="CG1" authorId="1" shapeId="0" xr:uid="{7F50551F-B4DC-471E-B77B-27ECD85A8815}">
      <text>
        <r>
          <rPr>
            <sz val="8"/>
            <color indexed="81"/>
            <rFont val="Tahoma"/>
            <family val="2"/>
          </rPr>
          <t>Source: DATASTREAM
04/02/2009 08:01:32
Rows:4984,Cols:1
Request Table</t>
        </r>
      </text>
    </comment>
    <comment ref="CH1" authorId="1" shapeId="0" xr:uid="{ADBD5072-D885-4E70-8DBF-3EA5C5C03798}">
      <text>
        <r>
          <rPr>
            <sz val="8"/>
            <color indexed="81"/>
            <rFont val="Tahoma"/>
            <family val="2"/>
          </rPr>
          <t>Source: DATASTREAM
04/02/2009 08:01:33
Rows:4984,Cols:1
Request Table</t>
        </r>
      </text>
    </comment>
    <comment ref="CI1" authorId="1" shapeId="0" xr:uid="{DA5DAD7E-EC69-4F1D-AFFE-E365528A49C6}">
      <text>
        <r>
          <rPr>
            <sz val="8"/>
            <color indexed="81"/>
            <rFont val="Tahoma"/>
            <family val="2"/>
          </rPr>
          <t>Source: DATASTREAM
04/02/2009 08:01:33
Rows:4984,Cols:1
Request Table</t>
        </r>
      </text>
    </comment>
    <comment ref="CJ1" authorId="1" shapeId="0" xr:uid="{1BBFCF3A-6681-4F7C-9E26-265C429F44A2}">
      <text>
        <r>
          <rPr>
            <sz val="8"/>
            <color indexed="81"/>
            <rFont val="Tahoma"/>
            <family val="2"/>
          </rPr>
          <t>Source: DATASTREAM
04/02/2009 08:01:34
Rows:4984,Cols:1
Request Table</t>
        </r>
      </text>
    </comment>
    <comment ref="CK1" authorId="1" shapeId="0" xr:uid="{718C2027-D14D-4945-AC41-EADC7596BAC8}">
      <text>
        <r>
          <rPr>
            <sz val="8"/>
            <color indexed="81"/>
            <rFont val="Tahoma"/>
            <family val="2"/>
          </rPr>
          <t>Source: DATASTREAM
04/02/2009 08:01:34
Rows:4984,Cols:1
Request Table</t>
        </r>
      </text>
    </comment>
  </commentList>
</comments>
</file>

<file path=xl/sharedStrings.xml><?xml version="1.0" encoding="utf-8"?>
<sst xmlns="http://schemas.openxmlformats.org/spreadsheetml/2006/main" count="136" uniqueCount="55">
  <si>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</si>
  <si>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</si>
  <si>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</si>
  <si>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</si>
  <si>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</si>
  <si>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</si>
  <si>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</si>
  <si>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</si>
  <si>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</si>
  <si>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</si>
  <si>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</si>
  <si>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</si>
  <si>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</si>
  <si>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</si>
  <si>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</si>
  <si>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</si>
  <si>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</si>
  <si>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</si>
  <si>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</si>
  <si>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</si>
  <si>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</si>
  <si>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</si>
  <si>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2.1.0.152</t>
  </si>
  <si>
    <t>Y</t>
  </si>
  <si>
    <t>TS</t>
  </si>
  <si>
    <t>RC</t>
  </si>
  <si>
    <t>usbd10Y</t>
  </si>
  <si>
    <t>ry</t>
  </si>
  <si>
    <t>01/01/1980</t>
  </si>
  <si>
    <t>C</t>
  </si>
  <si>
    <t>ecusd3M</t>
  </si>
  <si>
    <t>ir</t>
  </si>
  <si>
    <t>totmkus</t>
  </si>
  <si>
    <t>pi</t>
  </si>
  <si>
    <t>ri</t>
  </si>
  <si>
    <t>pe</t>
  </si>
  <si>
    <t>mv</t>
  </si>
  <si>
    <t>frbryld</t>
  </si>
  <si>
    <t>ecffr3M</t>
  </si>
  <si>
    <t>totmkfr</t>
  </si>
  <si>
    <t>Monthly</t>
  </si>
  <si>
    <t>=data!$A$1</t>
  </si>
  <si>
    <t>=data!$C$1</t>
  </si>
  <si>
    <t>=data!$D$1</t>
  </si>
  <si>
    <t>=data!$E$1</t>
  </si>
  <si>
    <t>=data!$F$1</t>
  </si>
  <si>
    <t>=data!$G$1</t>
  </si>
  <si>
    <t>=data!$H$1</t>
  </si>
  <si>
    <t>=data!$I$1</t>
  </si>
  <si>
    <t>=data!$J$1</t>
  </si>
  <si>
    <t>=data!$K$1</t>
  </si>
  <si>
    <t>=data!$L$1</t>
  </si>
  <si>
    <t>=data!$M$1</t>
  </si>
  <si>
    <t>US TREAS.BENCHMARK BOND 10 YR (DS) - RED. YIELD</t>
  </si>
  <si>
    <t>05/10/2023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</si>
</sst>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"/>
  </numFmts>
  <fonts count="20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10"/>
      <color indexed="10"/>
      <name val="Arial"/>
      <family val="2"/>
    </font>
    <font>
      <sz val="9"/>
      <color indexed="81"/>
      <name val="Tahoma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4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2" fillId="0" borderId="0"/>
  </cellStyleXfs>
  <cellXfs count="70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10" fillId="2" borderId="0" xfId="0" applyFont="1" applyFill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2" fillId="0" borderId="0" xfId="1"/>
    <xf numFmtId="14" fontId="2" fillId="0" borderId="0" xfId="1" applyNumberFormat="1"/>
    <xf numFmtId="49" fontId="8" fillId="0" borderId="2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wrapText="1"/>
    </xf>
    <xf numFmtId="49" fontId="8" fillId="0" borderId="2" xfId="0" applyNumberFormat="1" applyFont="1" applyBorder="1" applyAlignment="1">
      <alignment vertical="center"/>
    </xf>
    <xf numFmtId="49" fontId="2" fillId="0" borderId="2" xfId="0" applyNumberFormat="1" applyFont="1" applyBorder="1" applyAlignment="1">
      <alignment vertical="center"/>
    </xf>
    <xf numFmtId="1" fontId="2" fillId="0" borderId="2" xfId="0" quotePrefix="1" applyNumberFormat="1" applyFont="1" applyBorder="1" applyAlignment="1">
      <alignment horizontal="left"/>
    </xf>
    <xf numFmtId="21" fontId="2" fillId="0" borderId="2" xfId="0" applyNumberFormat="1" applyFont="1" applyBorder="1"/>
    <xf numFmtId="21" fontId="2" fillId="0" borderId="2" xfId="0" applyNumberFormat="1" applyFont="1" applyBorder="1" applyAlignment="1">
      <alignment horizontal="center"/>
    </xf>
    <xf numFmtId="0" fontId="2" fillId="0" borderId="2" xfId="0" applyFont="1" applyBorder="1"/>
    <xf numFmtId="49" fontId="2" fillId="0" borderId="2" xfId="0" applyNumberFormat="1" applyFont="1" applyBorder="1" applyAlignment="1">
      <alignment horizontal="center" vertical="center"/>
    </xf>
    <xf numFmtId="49" fontId="16" fillId="0" borderId="2" xfId="0" applyNumberFormat="1" applyFont="1" applyBorder="1" applyAlignment="1">
      <alignment vertical="center"/>
    </xf>
    <xf numFmtId="0" fontId="2" fillId="0" borderId="2" xfId="0" applyFont="1" applyBorder="1" applyAlignment="1">
      <alignment horizontal="center"/>
    </xf>
    <xf numFmtId="49" fontId="2" fillId="0" borderId="0" xfId="0" applyNumberFormat="1" applyFont="1" applyAlignment="1">
      <alignment horizontal="left"/>
    </xf>
    <xf numFmtId="49" fontId="4" fillId="4" borderId="1" xfId="0" applyNumberFormat="1" applyFont="1" applyFill="1" applyBorder="1" applyAlignment="1">
      <alignment horizontal="left" vertical="top"/>
    </xf>
    <xf numFmtId="164" fontId="0" fillId="2" borderId="0" xfId="0" applyNumberFormat="1" applyFill="1" applyAlignment="1">
      <alignment horizontal="left" vertical="center"/>
    </xf>
    <xf numFmtId="164" fontId="3" fillId="2" borderId="0" xfId="0" applyNumberFormat="1" applyFont="1" applyFill="1" applyAlignment="1">
      <alignment horizontal="left" vertical="center"/>
    </xf>
    <xf numFmtId="164" fontId="6" fillId="3" borderId="1" xfId="0" applyNumberFormat="1" applyFont="1" applyFill="1" applyBorder="1" applyAlignment="1">
      <alignment horizontal="left" vertical="top"/>
    </xf>
    <xf numFmtId="164" fontId="8" fillId="0" borderId="1" xfId="0" applyNumberFormat="1" applyFont="1" applyBorder="1" applyAlignment="1">
      <alignment horizontal="left" vertical="center"/>
    </xf>
    <xf numFmtId="164" fontId="8" fillId="0" borderId="2" xfId="0" quotePrefix="1" applyNumberFormat="1" applyFont="1" applyBorder="1" applyAlignment="1">
      <alignment vertical="center"/>
    </xf>
    <xf numFmtId="164" fontId="2" fillId="0" borderId="2" xfId="0" applyNumberFormat="1" applyFont="1" applyBorder="1" applyAlignment="1">
      <alignment vertical="center"/>
    </xf>
    <xf numFmtId="164" fontId="2" fillId="0" borderId="0" xfId="0" applyNumberFormat="1" applyFont="1" applyAlignment="1">
      <alignment horizontal="left" vertical="center"/>
    </xf>
    <xf numFmtId="49" fontId="18" fillId="0" borderId="2" xfId="0" applyNumberFormat="1" applyFont="1" applyBorder="1" applyAlignment="1">
      <alignment horizontal="center" vertical="center"/>
    </xf>
    <xf numFmtId="0" fontId="18" fillId="0" borderId="3" xfId="0" applyFont="1" applyBorder="1" applyAlignment="1">
      <alignment wrapText="1"/>
    </xf>
    <xf numFmtId="49" fontId="18" fillId="0" borderId="2" xfId="0" applyNumberFormat="1" applyFont="1" applyBorder="1" applyAlignment="1">
      <alignment vertical="center"/>
    </xf>
    <xf numFmtId="49" fontId="18" fillId="0" borderId="2" xfId="0" applyNumberFormat="1" applyFont="1" applyBorder="1" applyAlignment="1">
      <alignment horizontal="left" vertical="center"/>
    </xf>
    <xf numFmtId="164" fontId="18" fillId="0" borderId="2" xfId="0" quotePrefix="1" applyNumberFormat="1" applyFont="1" applyBorder="1" applyAlignment="1">
      <alignment horizontal="right" vertical="center"/>
    </xf>
    <xf numFmtId="0" fontId="2" fillId="0" borderId="0" xfId="1" quotePrefix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9F209319-BCC6-4811-BA17-D4F096ED8B98}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5.emf"/><Relationship Id="rId18" Type="http://schemas.openxmlformats.org/officeDocument/2006/relationships/image" Target="../media/image20.emf"/><Relationship Id="rId26" Type="http://schemas.openxmlformats.org/officeDocument/2006/relationships/image" Target="../media/image12.emf"/><Relationship Id="rId21" Type="http://schemas.openxmlformats.org/officeDocument/2006/relationships/image" Target="../media/image17.emf"/><Relationship Id="rId34" Type="http://schemas.openxmlformats.org/officeDocument/2006/relationships/image" Target="../media/image4.emf"/><Relationship Id="rId7" Type="http://schemas.openxmlformats.org/officeDocument/2006/relationships/image" Target="../media/image31.emf"/><Relationship Id="rId12" Type="http://schemas.openxmlformats.org/officeDocument/2006/relationships/image" Target="../media/image26.emf"/><Relationship Id="rId17" Type="http://schemas.openxmlformats.org/officeDocument/2006/relationships/image" Target="../media/image21.emf"/><Relationship Id="rId25" Type="http://schemas.openxmlformats.org/officeDocument/2006/relationships/image" Target="../media/image13.emf"/><Relationship Id="rId33" Type="http://schemas.openxmlformats.org/officeDocument/2006/relationships/image" Target="../media/image5.emf"/><Relationship Id="rId2" Type="http://schemas.openxmlformats.org/officeDocument/2006/relationships/image" Target="../media/image36.emf"/><Relationship Id="rId16" Type="http://schemas.openxmlformats.org/officeDocument/2006/relationships/image" Target="../media/image22.emf"/><Relationship Id="rId20" Type="http://schemas.openxmlformats.org/officeDocument/2006/relationships/image" Target="../media/image18.emf"/><Relationship Id="rId29" Type="http://schemas.openxmlformats.org/officeDocument/2006/relationships/image" Target="../media/image9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11" Type="http://schemas.openxmlformats.org/officeDocument/2006/relationships/image" Target="../media/image27.emf"/><Relationship Id="rId24" Type="http://schemas.openxmlformats.org/officeDocument/2006/relationships/image" Target="../media/image14.emf"/><Relationship Id="rId32" Type="http://schemas.openxmlformats.org/officeDocument/2006/relationships/image" Target="../media/image6.emf"/><Relationship Id="rId37" Type="http://schemas.openxmlformats.org/officeDocument/2006/relationships/image" Target="../media/image1.emf"/><Relationship Id="rId5" Type="http://schemas.openxmlformats.org/officeDocument/2006/relationships/image" Target="../media/image33.emf"/><Relationship Id="rId15" Type="http://schemas.openxmlformats.org/officeDocument/2006/relationships/image" Target="../media/image23.emf"/><Relationship Id="rId23" Type="http://schemas.openxmlformats.org/officeDocument/2006/relationships/image" Target="../media/image15.emf"/><Relationship Id="rId28" Type="http://schemas.openxmlformats.org/officeDocument/2006/relationships/image" Target="../media/image10.emf"/><Relationship Id="rId36" Type="http://schemas.openxmlformats.org/officeDocument/2006/relationships/image" Target="../media/image2.emf"/><Relationship Id="rId10" Type="http://schemas.openxmlformats.org/officeDocument/2006/relationships/image" Target="../media/image28.emf"/><Relationship Id="rId19" Type="http://schemas.openxmlformats.org/officeDocument/2006/relationships/image" Target="../media/image19.emf"/><Relationship Id="rId31" Type="http://schemas.openxmlformats.org/officeDocument/2006/relationships/image" Target="../media/image7.emf"/><Relationship Id="rId4" Type="http://schemas.openxmlformats.org/officeDocument/2006/relationships/image" Target="../media/image34.emf"/><Relationship Id="rId9" Type="http://schemas.openxmlformats.org/officeDocument/2006/relationships/image" Target="../media/image29.emf"/><Relationship Id="rId14" Type="http://schemas.openxmlformats.org/officeDocument/2006/relationships/image" Target="../media/image24.emf"/><Relationship Id="rId22" Type="http://schemas.openxmlformats.org/officeDocument/2006/relationships/image" Target="../media/image16.emf"/><Relationship Id="rId27" Type="http://schemas.openxmlformats.org/officeDocument/2006/relationships/image" Target="../media/image11.emf"/><Relationship Id="rId30" Type="http://schemas.openxmlformats.org/officeDocument/2006/relationships/image" Target="../media/image8.emf"/><Relationship Id="rId35" Type="http://schemas.openxmlformats.org/officeDocument/2006/relationships/image" Target="../media/image3.emf"/><Relationship Id="rId8" Type="http://schemas.openxmlformats.org/officeDocument/2006/relationships/image" Target="../media/image30.emf"/><Relationship Id="rId3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904875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606425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fr-FR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2390775</xdr:colOff>
          <xdr:row>1</xdr:row>
          <xdr:rowOff>85725</xdr:rowOff>
        </xdr:from>
        <xdr:to>
          <xdr:col>5</xdr:col>
          <xdr:colOff>520700</xdr:colOff>
          <xdr:row>1</xdr:row>
          <xdr:rowOff>219075</xdr:rowOff>
        </xdr:to>
        <xdr:sp macro="" textlink="">
          <xdr:nvSpPr>
            <xdr:cNvPr id="1029" name="Label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619125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0" bIns="4114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8</xdr:col>
          <xdr:colOff>95250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0" bIns="4114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161925</xdr:rowOff>
        </xdr:from>
        <xdr:to>
          <xdr:col>10</xdr:col>
          <xdr:colOff>1666875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0" bIns="4114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0</xdr:rowOff>
        </xdr:from>
        <xdr:to>
          <xdr:col>10</xdr:col>
          <xdr:colOff>1619250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0" bIns="4114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0" bIns="4114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2</xdr:row>
          <xdr:rowOff>85725</xdr:rowOff>
        </xdr:from>
        <xdr:to>
          <xdr:col>5</xdr:col>
          <xdr:colOff>301625</xdr:colOff>
          <xdr:row>2</xdr:row>
          <xdr:rowOff>219075</xdr:rowOff>
        </xdr:to>
        <xdr:sp macro="" textlink="">
          <xdr:nvSpPr>
            <xdr:cNvPr id="1037" name="Label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990600</xdr:colOff>
          <xdr:row>1</xdr:row>
          <xdr:rowOff>304800</xdr:rowOff>
        </xdr:from>
        <xdr:to>
          <xdr:col>10</xdr:col>
          <xdr:colOff>2171700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1</xdr:row>
          <xdr:rowOff>85725</xdr:rowOff>
        </xdr:from>
        <xdr:to>
          <xdr:col>10</xdr:col>
          <xdr:colOff>638175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0" bIns="4114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1</xdr:row>
          <xdr:rowOff>333375</xdr:rowOff>
        </xdr:from>
        <xdr:to>
          <xdr:col>10</xdr:col>
          <xdr:colOff>908050</xdr:colOff>
          <xdr:row>2</xdr:row>
          <xdr:rowOff>9525</xdr:rowOff>
        </xdr:to>
        <xdr:sp macro="" textlink="">
          <xdr:nvSpPr>
            <xdr:cNvPr id="1040" name="Label4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2390775</xdr:colOff>
          <xdr:row>0</xdr:row>
          <xdr:rowOff>114300</xdr:rowOff>
        </xdr:from>
        <xdr:to>
          <xdr:col>5</xdr:col>
          <xdr:colOff>15875</xdr:colOff>
          <xdr:row>0</xdr:row>
          <xdr:rowOff>247650</xdr:rowOff>
        </xdr:to>
        <xdr:sp macro="" textlink="">
          <xdr:nvSpPr>
            <xdr:cNvPr id="1041" name="Label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0" bIns="4114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314325</xdr:rowOff>
        </xdr:from>
        <xdr:to>
          <xdr:col>5</xdr:col>
          <xdr:colOff>596900</xdr:colOff>
          <xdr:row>1</xdr:row>
          <xdr:rowOff>447675</xdr:rowOff>
        </xdr:to>
        <xdr:sp macro="" textlink="">
          <xdr:nvSpPr>
            <xdr:cNvPr id="1043" name="Label2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0" bIns="4114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1</xdr:row>
          <xdr:rowOff>285750</xdr:rowOff>
        </xdr:from>
        <xdr:to>
          <xdr:col>8</xdr:col>
          <xdr:colOff>514350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</xdr:rowOff>
        </xdr:from>
        <xdr:to>
          <xdr:col>12</xdr:col>
          <xdr:colOff>1609725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9525</xdr:rowOff>
        </xdr:from>
        <xdr:to>
          <xdr:col>12</xdr:col>
          <xdr:colOff>1609725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219075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41148" rIns="0" bIns="4114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19050</xdr:rowOff>
        </xdr:from>
        <xdr:to>
          <xdr:col>12</xdr:col>
          <xdr:colOff>1619250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469900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962025</xdr:colOff>
          <xdr:row>0</xdr:row>
          <xdr:rowOff>76200</xdr:rowOff>
        </xdr:from>
        <xdr:to>
          <xdr:col>4</xdr:col>
          <xdr:colOff>2219325</xdr:colOff>
          <xdr:row>1</xdr:row>
          <xdr:rowOff>57150</xdr:rowOff>
        </xdr:to>
        <xdr:sp macro="" textlink="">
          <xdr:nvSpPr>
            <xdr:cNvPr id="1070" name="txtVersi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1133475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84" Type="http://schemas.openxmlformats.org/officeDocument/2006/relationships/ctrlProp" Target="../ctrlProps/ctrlProp6.xml"/><Relationship Id="rId89" Type="http://schemas.openxmlformats.org/officeDocument/2006/relationships/ctrlProp" Target="../ctrlProps/ctrlProp11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image" Target="../media/image35.emf"/><Relationship Id="rId79" Type="http://schemas.openxmlformats.org/officeDocument/2006/relationships/ctrlProp" Target="../ctrlProps/ctrlProp1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12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trlProp" Target="../ctrlProps/ctrlProp2.xml"/><Relationship Id="rId85" Type="http://schemas.openxmlformats.org/officeDocument/2006/relationships/ctrlProp" Target="../ctrlProps/ctrlProp7.xml"/><Relationship Id="rId9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control" Target="../activeX/activeX37.xml"/><Relationship Id="rId83" Type="http://schemas.openxmlformats.org/officeDocument/2006/relationships/ctrlProp" Target="../ctrlProps/ctrlProp5.xml"/><Relationship Id="rId88" Type="http://schemas.openxmlformats.org/officeDocument/2006/relationships/ctrlProp" Target="../ctrlProps/ctrlProp10.xml"/><Relationship Id="rId91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ontrol" Target="../activeX/activeX36.xml"/><Relationship Id="rId78" Type="http://schemas.openxmlformats.org/officeDocument/2006/relationships/image" Target="../media/image37.emf"/><Relationship Id="rId81" Type="http://schemas.openxmlformats.org/officeDocument/2006/relationships/ctrlProp" Target="../ctrlProps/ctrlProp3.xml"/><Relationship Id="rId86" Type="http://schemas.openxmlformats.org/officeDocument/2006/relationships/ctrlProp" Target="../ctrlProps/ctrlProp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image" Target="../media/image36.emf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9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4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control" Target="../activeX/activeX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743"/>
  <sheetViews>
    <sheetView workbookViewId="0">
      <pane ySplit="6" topLeftCell="A18" activePane="bottomLeft" state="frozen"/>
      <selection pane="bottomLeft" activeCell="E19" sqref="E19"/>
    </sheetView>
  </sheetViews>
  <sheetFormatPr baseColWidth="10" defaultColWidth="9.1328125" defaultRowHeight="13" x14ac:dyDescent="0.6"/>
  <cols>
    <col min="1" max="1" width="3.26953125" style="9" customWidth="1"/>
    <col min="2" max="2" width="12.1328125" style="20" customWidth="1"/>
    <col min="3" max="3" width="26.40625" style="20" customWidth="1"/>
    <col min="4" max="4" width="17.54296875" style="20" customWidth="1"/>
    <col min="5" max="5" width="40" style="24" customWidth="1"/>
    <col min="6" max="6" width="37.40625" style="21" customWidth="1"/>
    <col min="7" max="7" width="14" style="22" customWidth="1"/>
    <col min="8" max="9" width="11.40625" style="22" customWidth="1"/>
    <col min="10" max="10" width="13.86328125" style="23" hidden="1" customWidth="1"/>
    <col min="11" max="11" width="49" style="61" bestFit="1" customWidth="1"/>
    <col min="12" max="12" width="13.2265625" style="19" bestFit="1" customWidth="1"/>
    <col min="13" max="13" width="60.1328125" style="22" customWidth="1"/>
    <col min="14" max="14" width="5.54296875" style="23" customWidth="1"/>
    <col min="15" max="15" width="4.7265625" style="23" customWidth="1"/>
    <col min="16" max="19" width="8.86328125" style="23" customWidth="1"/>
    <col min="20" max="20" width="12" style="23" customWidth="1"/>
    <col min="21" max="21" width="1.86328125" style="9" customWidth="1"/>
    <col min="22" max="22" width="4.26953125" style="9" customWidth="1"/>
    <col min="23" max="23" width="3.7265625" style="9" customWidth="1"/>
    <col min="24" max="24" width="8.54296875" style="9" customWidth="1"/>
    <col min="25" max="25" width="8" style="9" customWidth="1"/>
    <col min="26" max="26" width="8.1328125" style="9" hidden="1" customWidth="1"/>
    <col min="27" max="27" width="10" style="9" customWidth="1"/>
    <col min="28" max="28" width="8" style="9" customWidth="1"/>
    <col min="29" max="29" width="25.26953125" style="9" customWidth="1"/>
    <col min="30" max="30" width="25.26953125" style="9" bestFit="1" customWidth="1"/>
    <col min="31" max="31" width="16.40625" style="9" bestFit="1" customWidth="1"/>
    <col min="32" max="32" width="9.86328125" style="9" customWidth="1"/>
    <col min="33" max="16384" width="9.1328125" style="9"/>
  </cols>
  <sheetData>
    <row r="1" spans="1:89" s="1" customFormat="1" ht="20.25" customHeight="1" x14ac:dyDescent="0.75">
      <c r="B1" s="2"/>
      <c r="C1" s="2"/>
      <c r="D1" s="2"/>
      <c r="E1" s="3"/>
      <c r="F1" s="3"/>
      <c r="G1" s="4"/>
      <c r="H1" s="4"/>
      <c r="I1" s="4"/>
      <c r="K1" s="55"/>
      <c r="L1" s="5"/>
      <c r="M1" s="4"/>
    </row>
    <row r="2" spans="1:89" s="1" customFormat="1" ht="36" customHeight="1" x14ac:dyDescent="0.75">
      <c r="A2" s="6" t="s">
        <v>22</v>
      </c>
      <c r="B2" s="2"/>
      <c r="C2" s="2"/>
      <c r="D2" s="2"/>
      <c r="E2" s="3"/>
      <c r="F2" s="3"/>
      <c r="G2" s="4"/>
      <c r="H2" s="4"/>
      <c r="I2" s="4"/>
      <c r="K2" s="55"/>
      <c r="L2" s="5"/>
      <c r="M2" s="4"/>
    </row>
    <row r="3" spans="1:89" s="1" customFormat="1" ht="18.75" customHeight="1" x14ac:dyDescent="0.75">
      <c r="B3" s="2"/>
      <c r="C3" s="2"/>
      <c r="D3" s="2"/>
      <c r="E3" s="3"/>
      <c r="F3" s="3"/>
      <c r="G3" s="4"/>
      <c r="H3" s="4"/>
      <c r="I3" s="4"/>
      <c r="K3" s="55"/>
      <c r="L3" s="7" t="s">
        <v>0</v>
      </c>
      <c r="M3" s="4"/>
      <c r="N3" s="8" t="s">
        <v>0</v>
      </c>
      <c r="AC3" s="9"/>
      <c r="AD3" s="9"/>
      <c r="AE3" s="9"/>
    </row>
    <row r="4" spans="1:89" s="1" customFormat="1" ht="30" customHeight="1" x14ac:dyDescent="0.75">
      <c r="A4" s="4"/>
      <c r="B4" s="2"/>
      <c r="C4" s="2"/>
      <c r="D4" s="2"/>
      <c r="E4" s="3"/>
      <c r="F4" s="10"/>
      <c r="G4" s="4"/>
      <c r="H4" s="4"/>
      <c r="I4" s="11"/>
      <c r="J4" s="12"/>
      <c r="K4" s="56"/>
      <c r="L4" s="27" t="s">
        <v>1</v>
      </c>
      <c r="M4" s="54" t="s">
        <v>54</v>
      </c>
      <c r="W4" s="9"/>
      <c r="X4" s="9"/>
      <c r="AC4" s="9"/>
      <c r="AD4" s="9"/>
      <c r="AE4" s="9"/>
    </row>
    <row r="5" spans="1:89" s="17" customFormat="1" ht="12.75" customHeight="1" x14ac:dyDescent="0.75">
      <c r="A5" s="13"/>
      <c r="B5" s="25" t="s">
        <v>2</v>
      </c>
      <c r="C5" s="25" t="s">
        <v>3</v>
      </c>
      <c r="D5" s="26" t="s">
        <v>4</v>
      </c>
      <c r="E5" s="25" t="s">
        <v>5</v>
      </c>
      <c r="F5" s="25" t="s">
        <v>6</v>
      </c>
      <c r="G5" s="25" t="s">
        <v>7</v>
      </c>
      <c r="H5" s="25" t="s">
        <v>8</v>
      </c>
      <c r="I5" s="25" t="s">
        <v>9</v>
      </c>
      <c r="J5" s="33" t="s">
        <v>10</v>
      </c>
      <c r="K5" s="57"/>
      <c r="L5" s="68" t="s">
        <v>11</v>
      </c>
      <c r="M5" s="68" t="s">
        <v>12</v>
      </c>
      <c r="N5" s="25"/>
      <c r="O5" s="25"/>
      <c r="P5" s="25" t="s">
        <v>13</v>
      </c>
      <c r="Q5" s="25"/>
      <c r="R5" s="25"/>
      <c r="S5" s="25"/>
      <c r="T5" s="25" t="s">
        <v>21</v>
      </c>
      <c r="U5" s="14"/>
      <c r="V5" s="15"/>
      <c r="W5" s="16"/>
      <c r="X5" s="16"/>
      <c r="Y5" s="13"/>
      <c r="Z5" s="13"/>
      <c r="AA5" s="13"/>
      <c r="AB5" s="13"/>
      <c r="AC5" s="16"/>
      <c r="AD5" s="16"/>
      <c r="AE5" s="16"/>
      <c r="AF5" s="13"/>
      <c r="AG5" s="13"/>
      <c r="CK5" s="13"/>
    </row>
    <row r="6" spans="1:89" s="1" customFormat="1" ht="20.25" customHeight="1" x14ac:dyDescent="0.75">
      <c r="A6" s="31"/>
      <c r="B6" s="34"/>
      <c r="C6" s="29"/>
      <c r="D6" s="29"/>
      <c r="E6" s="35"/>
      <c r="F6" s="36"/>
      <c r="G6" s="37"/>
      <c r="H6" s="37"/>
      <c r="I6" s="28"/>
      <c r="J6" s="38"/>
      <c r="K6" s="58"/>
      <c r="L6" s="69"/>
      <c r="M6" s="69"/>
      <c r="N6" s="39" t="s">
        <v>14</v>
      </c>
      <c r="O6" s="39" t="s">
        <v>15</v>
      </c>
      <c r="P6" s="39" t="s">
        <v>16</v>
      </c>
      <c r="Q6" s="39" t="s">
        <v>17</v>
      </c>
      <c r="R6" s="39" t="s">
        <v>18</v>
      </c>
      <c r="S6" s="39" t="s">
        <v>19</v>
      </c>
      <c r="T6" s="39"/>
      <c r="U6" s="32"/>
      <c r="W6" s="9"/>
      <c r="X6" s="9"/>
      <c r="AC6" s="9"/>
      <c r="AD6" s="9"/>
      <c r="AE6" s="9"/>
      <c r="CK6" s="4"/>
    </row>
    <row r="7" spans="1:89" ht="14.15" customHeight="1" x14ac:dyDescent="0.6">
      <c r="B7" s="62" t="s">
        <v>23</v>
      </c>
      <c r="C7" s="62" t="s">
        <v>24</v>
      </c>
      <c r="D7" s="62" t="s">
        <v>25</v>
      </c>
      <c r="E7" s="63" t="s">
        <v>26</v>
      </c>
      <c r="F7" s="64" t="s">
        <v>27</v>
      </c>
      <c r="G7" s="64" t="s">
        <v>28</v>
      </c>
      <c r="H7" s="64"/>
      <c r="I7" s="65" t="s">
        <v>40</v>
      </c>
      <c r="J7" s="44" t="s">
        <v>41</v>
      </c>
      <c r="K7" s="66" t="e">
        <f ca="1">data!$A$1</f>
        <v>#NAME?</v>
      </c>
      <c r="L7" s="64" t="s">
        <v>0</v>
      </c>
      <c r="M7" s="45"/>
      <c r="N7" s="45" t="s">
        <v>0</v>
      </c>
      <c r="O7" s="46"/>
      <c r="P7" s="46"/>
      <c r="Q7" s="47"/>
      <c r="R7" s="48"/>
      <c r="S7" s="48"/>
      <c r="T7" s="30"/>
    </row>
    <row r="8" spans="1:89" ht="14.15" customHeight="1" x14ac:dyDescent="0.6">
      <c r="B8" s="62" t="s">
        <v>23</v>
      </c>
      <c r="C8" s="62" t="s">
        <v>24</v>
      </c>
      <c r="D8" s="62" t="s">
        <v>29</v>
      </c>
      <c r="E8" s="63" t="s">
        <v>30</v>
      </c>
      <c r="F8" s="64" t="s">
        <v>31</v>
      </c>
      <c r="G8" s="64" t="s">
        <v>28</v>
      </c>
      <c r="H8" s="64"/>
      <c r="I8" s="65" t="s">
        <v>40</v>
      </c>
      <c r="J8" s="44" t="s">
        <v>42</v>
      </c>
      <c r="K8" s="66" t="e">
        <f ca="1">data!$C$1</f>
        <v>#NAME?</v>
      </c>
      <c r="L8" s="64" t="s">
        <v>0</v>
      </c>
      <c r="M8" s="45"/>
      <c r="N8" s="45" t="s">
        <v>0</v>
      </c>
      <c r="O8" s="46"/>
      <c r="P8" s="46"/>
      <c r="Q8" s="47"/>
      <c r="R8" s="48"/>
      <c r="S8" s="48"/>
      <c r="T8" s="30"/>
    </row>
    <row r="9" spans="1:89" ht="14.15" customHeight="1" x14ac:dyDescent="0.6">
      <c r="B9" s="62" t="s">
        <v>23</v>
      </c>
      <c r="C9" s="62" t="s">
        <v>24</v>
      </c>
      <c r="D9" s="62" t="s">
        <v>29</v>
      </c>
      <c r="E9" s="63" t="s">
        <v>32</v>
      </c>
      <c r="F9" s="64" t="s">
        <v>33</v>
      </c>
      <c r="G9" s="64" t="s">
        <v>28</v>
      </c>
      <c r="H9" s="64"/>
      <c r="I9" s="65" t="s">
        <v>40</v>
      </c>
      <c r="J9" s="44" t="s">
        <v>43</v>
      </c>
      <c r="K9" s="66" t="e">
        <f ca="1">data!$D$1</f>
        <v>#NAME?</v>
      </c>
      <c r="L9" s="64" t="s">
        <v>0</v>
      </c>
      <c r="M9" s="45"/>
      <c r="N9" s="46"/>
      <c r="O9" s="46"/>
      <c r="P9" s="49"/>
      <c r="Q9" s="48"/>
      <c r="R9" s="48"/>
      <c r="S9" s="48"/>
      <c r="T9" s="30"/>
    </row>
    <row r="10" spans="1:89" ht="14.15" customHeight="1" x14ac:dyDescent="0.6">
      <c r="B10" s="62" t="s">
        <v>23</v>
      </c>
      <c r="C10" s="62" t="s">
        <v>24</v>
      </c>
      <c r="D10" s="62" t="s">
        <v>29</v>
      </c>
      <c r="E10" s="63" t="s">
        <v>32</v>
      </c>
      <c r="F10" s="64" t="s">
        <v>34</v>
      </c>
      <c r="G10" s="64" t="s">
        <v>28</v>
      </c>
      <c r="H10" s="64"/>
      <c r="I10" s="65" t="s">
        <v>40</v>
      </c>
      <c r="J10" s="44" t="s">
        <v>44</v>
      </c>
      <c r="K10" s="66" t="e">
        <f ca="1">data!$E$1</f>
        <v>#NAME?</v>
      </c>
      <c r="L10" s="64" t="s">
        <v>0</v>
      </c>
      <c r="M10" s="45"/>
      <c r="N10" s="46"/>
      <c r="O10" s="46"/>
      <c r="P10" s="49"/>
      <c r="Q10" s="48"/>
      <c r="R10" s="48"/>
      <c r="S10" s="48"/>
      <c r="T10" s="30"/>
    </row>
    <row r="11" spans="1:89" ht="14.15" customHeight="1" x14ac:dyDescent="0.6">
      <c r="B11" s="62" t="s">
        <v>23</v>
      </c>
      <c r="C11" s="62" t="s">
        <v>24</v>
      </c>
      <c r="D11" s="62" t="s">
        <v>29</v>
      </c>
      <c r="E11" s="63" t="s">
        <v>32</v>
      </c>
      <c r="F11" s="64" t="s">
        <v>35</v>
      </c>
      <c r="G11" s="64" t="s">
        <v>28</v>
      </c>
      <c r="H11" s="64"/>
      <c r="I11" s="65" t="s">
        <v>40</v>
      </c>
      <c r="J11" s="44" t="s">
        <v>45</v>
      </c>
      <c r="K11" s="66" t="e">
        <f ca="1">data!$F$1</f>
        <v>#NAME?</v>
      </c>
      <c r="L11" s="64" t="s">
        <v>0</v>
      </c>
      <c r="M11" s="45"/>
      <c r="N11" s="46"/>
      <c r="O11" s="46"/>
      <c r="P11" s="49"/>
      <c r="Q11" s="48"/>
      <c r="R11" s="48"/>
      <c r="S11" s="48"/>
      <c r="T11" s="30"/>
    </row>
    <row r="12" spans="1:89" ht="14.15" customHeight="1" x14ac:dyDescent="0.6">
      <c r="B12" s="62" t="s">
        <v>23</v>
      </c>
      <c r="C12" s="62" t="s">
        <v>24</v>
      </c>
      <c r="D12" s="62" t="s">
        <v>29</v>
      </c>
      <c r="E12" s="63" t="s">
        <v>32</v>
      </c>
      <c r="F12" s="64" t="s">
        <v>36</v>
      </c>
      <c r="G12" s="64" t="s">
        <v>28</v>
      </c>
      <c r="H12" s="64"/>
      <c r="I12" s="65" t="s">
        <v>40</v>
      </c>
      <c r="J12" s="44" t="s">
        <v>46</v>
      </c>
      <c r="K12" s="66" t="e">
        <f ca="1">data!$G$1</f>
        <v>#NAME?</v>
      </c>
      <c r="L12" s="64" t="s">
        <v>0</v>
      </c>
      <c r="M12" s="45"/>
      <c r="N12" s="46"/>
      <c r="O12" s="46"/>
      <c r="P12" s="49"/>
      <c r="Q12" s="48"/>
      <c r="R12" s="48"/>
      <c r="S12" s="48"/>
      <c r="T12" s="30"/>
    </row>
    <row r="13" spans="1:89" ht="14.15" customHeight="1" x14ac:dyDescent="0.6">
      <c r="B13" s="62" t="s">
        <v>23</v>
      </c>
      <c r="C13" s="62" t="s">
        <v>24</v>
      </c>
      <c r="D13" s="62" t="s">
        <v>29</v>
      </c>
      <c r="E13" s="63" t="s">
        <v>37</v>
      </c>
      <c r="F13" s="64" t="s">
        <v>27</v>
      </c>
      <c r="G13" s="64" t="s">
        <v>28</v>
      </c>
      <c r="H13" s="64"/>
      <c r="I13" s="65" t="s">
        <v>40</v>
      </c>
      <c r="J13" s="44" t="s">
        <v>47</v>
      </c>
      <c r="K13" s="66" t="e">
        <f ca="1">data!$H$1</f>
        <v>#NAME?</v>
      </c>
      <c r="L13" s="64" t="s">
        <v>0</v>
      </c>
      <c r="M13" s="45"/>
      <c r="N13" s="46"/>
      <c r="O13" s="46"/>
      <c r="P13" s="49"/>
      <c r="Q13" s="48"/>
      <c r="R13" s="48"/>
      <c r="S13" s="48"/>
      <c r="T13" s="30"/>
    </row>
    <row r="14" spans="1:89" ht="14.15" customHeight="1" x14ac:dyDescent="0.6">
      <c r="B14" s="62" t="s">
        <v>23</v>
      </c>
      <c r="C14" s="62" t="s">
        <v>24</v>
      </c>
      <c r="D14" s="62" t="s">
        <v>29</v>
      </c>
      <c r="E14" s="63" t="s">
        <v>38</v>
      </c>
      <c r="F14" s="64" t="s">
        <v>31</v>
      </c>
      <c r="G14" s="64" t="s">
        <v>28</v>
      </c>
      <c r="H14" s="64"/>
      <c r="I14" s="65" t="s">
        <v>40</v>
      </c>
      <c r="J14" s="44" t="s">
        <v>48</v>
      </c>
      <c r="K14" s="66" t="e">
        <f ca="1">data!$I$1</f>
        <v>#NAME?</v>
      </c>
      <c r="L14" s="64" t="s">
        <v>0</v>
      </c>
      <c r="M14" s="45"/>
      <c r="N14" s="46"/>
      <c r="O14" s="46"/>
      <c r="P14" s="49"/>
      <c r="Q14" s="48"/>
      <c r="R14" s="48"/>
      <c r="S14" s="48"/>
      <c r="T14" s="30"/>
    </row>
    <row r="15" spans="1:89" ht="14.15" customHeight="1" x14ac:dyDescent="0.6">
      <c r="B15" s="62" t="s">
        <v>23</v>
      </c>
      <c r="C15" s="62" t="s">
        <v>24</v>
      </c>
      <c r="D15" s="62" t="s">
        <v>29</v>
      </c>
      <c r="E15" s="63" t="s">
        <v>39</v>
      </c>
      <c r="F15" s="64" t="s">
        <v>33</v>
      </c>
      <c r="G15" s="64" t="s">
        <v>28</v>
      </c>
      <c r="H15" s="64"/>
      <c r="I15" s="65" t="s">
        <v>40</v>
      </c>
      <c r="J15" s="44" t="s">
        <v>49</v>
      </c>
      <c r="K15" s="66" t="e">
        <f ca="1">data!$J$1</f>
        <v>#NAME?</v>
      </c>
      <c r="L15" s="64" t="s">
        <v>0</v>
      </c>
      <c r="M15" s="45"/>
      <c r="N15" s="46"/>
      <c r="O15" s="46"/>
      <c r="P15" s="49"/>
      <c r="Q15" s="48"/>
      <c r="R15" s="48"/>
      <c r="S15" s="48"/>
      <c r="T15" s="30"/>
    </row>
    <row r="16" spans="1:89" ht="14.15" customHeight="1" x14ac:dyDescent="0.6">
      <c r="B16" s="62" t="s">
        <v>23</v>
      </c>
      <c r="C16" s="62" t="s">
        <v>24</v>
      </c>
      <c r="D16" s="62" t="s">
        <v>29</v>
      </c>
      <c r="E16" s="63" t="s">
        <v>39</v>
      </c>
      <c r="F16" s="64" t="s">
        <v>34</v>
      </c>
      <c r="G16" s="64" t="s">
        <v>28</v>
      </c>
      <c r="H16" s="64"/>
      <c r="I16" s="65" t="s">
        <v>40</v>
      </c>
      <c r="J16" s="44" t="s">
        <v>50</v>
      </c>
      <c r="K16" s="66" t="e">
        <f ca="1">data!$K$1</f>
        <v>#NAME?</v>
      </c>
      <c r="L16" s="64" t="s">
        <v>0</v>
      </c>
      <c r="M16" s="45"/>
      <c r="N16" s="46"/>
      <c r="O16" s="46"/>
      <c r="P16" s="49"/>
      <c r="Q16" s="48"/>
      <c r="R16" s="48"/>
      <c r="S16" s="48"/>
      <c r="T16" s="30"/>
    </row>
    <row r="17" spans="2:20" ht="14.15" customHeight="1" x14ac:dyDescent="0.6">
      <c r="B17" s="62" t="s">
        <v>23</v>
      </c>
      <c r="C17" s="62" t="s">
        <v>24</v>
      </c>
      <c r="D17" s="62" t="s">
        <v>29</v>
      </c>
      <c r="E17" s="63" t="s">
        <v>39</v>
      </c>
      <c r="F17" s="64" t="s">
        <v>35</v>
      </c>
      <c r="G17" s="64" t="s">
        <v>28</v>
      </c>
      <c r="H17" s="64"/>
      <c r="I17" s="65" t="s">
        <v>40</v>
      </c>
      <c r="J17" s="44" t="s">
        <v>51</v>
      </c>
      <c r="K17" s="66" t="e">
        <f ca="1">data!$L$1</f>
        <v>#NAME?</v>
      </c>
      <c r="L17" s="64" t="s">
        <v>0</v>
      </c>
      <c r="M17" s="45"/>
      <c r="N17" s="46"/>
      <c r="O17" s="46"/>
      <c r="P17" s="49"/>
      <c r="Q17" s="48"/>
      <c r="R17" s="48"/>
      <c r="S17" s="48"/>
      <c r="T17" s="30"/>
    </row>
    <row r="18" spans="2:20" ht="14.15" customHeight="1" x14ac:dyDescent="0.6">
      <c r="B18" s="62" t="s">
        <v>23</v>
      </c>
      <c r="C18" s="62" t="s">
        <v>24</v>
      </c>
      <c r="D18" s="62" t="s">
        <v>29</v>
      </c>
      <c r="E18" s="63" t="s">
        <v>39</v>
      </c>
      <c r="F18" s="64" t="s">
        <v>36</v>
      </c>
      <c r="G18" s="64" t="s">
        <v>28</v>
      </c>
      <c r="H18" s="64"/>
      <c r="I18" s="65" t="s">
        <v>40</v>
      </c>
      <c r="J18" s="44" t="s">
        <v>52</v>
      </c>
      <c r="K18" s="66" t="e">
        <f ca="1">data!$M$1</f>
        <v>#NAME?</v>
      </c>
      <c r="L18" s="64" t="s">
        <v>0</v>
      </c>
      <c r="M18" s="45"/>
      <c r="N18" s="46"/>
      <c r="O18" s="46"/>
      <c r="P18" s="49"/>
      <c r="Q18" s="48"/>
      <c r="R18" s="48"/>
      <c r="S18" s="48"/>
      <c r="T18" s="30"/>
    </row>
    <row r="19" spans="2:20" ht="14.15" customHeight="1" x14ac:dyDescent="0.6">
      <c r="B19" s="42"/>
      <c r="C19" s="42"/>
      <c r="D19" s="42"/>
      <c r="E19" s="43"/>
      <c r="F19" s="44"/>
      <c r="G19" s="44"/>
      <c r="H19" s="44"/>
      <c r="I19" s="44"/>
      <c r="J19" s="44"/>
      <c r="K19" s="59"/>
      <c r="L19" s="44"/>
      <c r="M19" s="45"/>
      <c r="N19" s="46"/>
      <c r="O19" s="46"/>
      <c r="P19" s="49"/>
      <c r="Q19" s="48"/>
      <c r="R19" s="48"/>
      <c r="S19" s="48"/>
      <c r="T19" s="30"/>
    </row>
    <row r="20" spans="2:20" ht="14.15" customHeight="1" x14ac:dyDescent="0.6">
      <c r="B20" s="42"/>
      <c r="C20" s="42"/>
      <c r="D20" s="42"/>
      <c r="E20" s="43"/>
      <c r="F20" s="44"/>
      <c r="G20" s="44"/>
      <c r="H20" s="44"/>
      <c r="I20" s="44"/>
      <c r="J20" s="44"/>
      <c r="K20" s="59"/>
      <c r="L20" s="44"/>
      <c r="M20" s="45"/>
      <c r="N20" s="46"/>
      <c r="O20" s="46"/>
      <c r="P20" s="49"/>
      <c r="Q20" s="48"/>
      <c r="R20" s="48"/>
      <c r="S20" s="48"/>
      <c r="T20" s="30"/>
    </row>
    <row r="21" spans="2:20" ht="14.15" customHeight="1" x14ac:dyDescent="0.6">
      <c r="B21" s="42"/>
      <c r="C21" s="42"/>
      <c r="D21" s="42"/>
      <c r="E21" s="43"/>
      <c r="F21" s="44"/>
      <c r="G21" s="44"/>
      <c r="H21" s="44"/>
      <c r="I21" s="44"/>
      <c r="J21" s="44"/>
      <c r="K21" s="59"/>
      <c r="L21" s="44"/>
      <c r="M21" s="45"/>
      <c r="N21" s="46"/>
      <c r="O21" s="46"/>
      <c r="P21" s="49"/>
      <c r="Q21" s="48"/>
      <c r="R21" s="48"/>
      <c r="S21" s="48"/>
      <c r="T21" s="30"/>
    </row>
    <row r="22" spans="2:20" ht="14.15" customHeight="1" x14ac:dyDescent="0.6">
      <c r="B22" s="42"/>
      <c r="C22" s="42"/>
      <c r="D22" s="42"/>
      <c r="E22" s="43"/>
      <c r="F22" s="44"/>
      <c r="G22" s="44"/>
      <c r="H22" s="44"/>
      <c r="I22" s="44"/>
      <c r="J22" s="44"/>
      <c r="K22" s="59"/>
      <c r="L22" s="44"/>
      <c r="M22" s="45"/>
      <c r="N22" s="46"/>
      <c r="O22" s="46"/>
      <c r="P22" s="49"/>
      <c r="Q22" s="48"/>
      <c r="R22" s="48"/>
      <c r="S22" s="48"/>
      <c r="T22" s="30"/>
    </row>
    <row r="23" spans="2:20" ht="14.15" customHeight="1" x14ac:dyDescent="0.6">
      <c r="B23" s="42"/>
      <c r="C23" s="42"/>
      <c r="D23" s="42"/>
      <c r="E23" s="43"/>
      <c r="F23" s="44"/>
      <c r="G23" s="44"/>
      <c r="H23" s="44"/>
      <c r="I23" s="44"/>
      <c r="J23" s="44"/>
      <c r="K23" s="59"/>
      <c r="L23" s="44"/>
      <c r="M23" s="45"/>
      <c r="N23" s="46"/>
      <c r="O23" s="46"/>
      <c r="P23" s="49"/>
      <c r="Q23" s="48"/>
      <c r="R23" s="48"/>
      <c r="S23" s="48"/>
      <c r="T23" s="30"/>
    </row>
    <row r="24" spans="2:20" ht="14.15" customHeight="1" x14ac:dyDescent="0.6">
      <c r="B24" s="42"/>
      <c r="C24" s="42"/>
      <c r="D24" s="42"/>
      <c r="E24" s="43"/>
      <c r="F24" s="44"/>
      <c r="G24" s="44"/>
      <c r="H24" s="44"/>
      <c r="I24" s="44"/>
      <c r="J24" s="44"/>
      <c r="K24" s="59"/>
      <c r="L24" s="44"/>
      <c r="M24" s="45"/>
      <c r="N24" s="46"/>
      <c r="O24" s="46"/>
      <c r="P24" s="49"/>
      <c r="Q24" s="48"/>
      <c r="R24" s="48"/>
      <c r="S24" s="48"/>
      <c r="T24" s="30"/>
    </row>
    <row r="25" spans="2:20" ht="14.15" customHeight="1" x14ac:dyDescent="0.6">
      <c r="B25" s="42"/>
      <c r="C25" s="42"/>
      <c r="D25" s="42"/>
      <c r="E25" s="43"/>
      <c r="F25" s="44"/>
      <c r="G25" s="44"/>
      <c r="H25" s="44"/>
      <c r="I25" s="44"/>
      <c r="J25" s="44"/>
      <c r="K25" s="59"/>
      <c r="L25" s="44"/>
      <c r="M25" s="45"/>
      <c r="N25" s="46"/>
      <c r="O25" s="46"/>
      <c r="P25" s="49"/>
      <c r="Q25" s="48"/>
      <c r="R25" s="48"/>
      <c r="S25" s="48"/>
      <c r="T25" s="30"/>
    </row>
    <row r="26" spans="2:20" ht="14.15" customHeight="1" x14ac:dyDescent="0.6">
      <c r="B26" s="42"/>
      <c r="C26" s="42"/>
      <c r="D26" s="42"/>
      <c r="E26" s="43"/>
      <c r="F26" s="44"/>
      <c r="G26" s="44"/>
      <c r="H26" s="44"/>
      <c r="I26" s="44"/>
      <c r="J26" s="44"/>
      <c r="K26" s="59"/>
      <c r="L26" s="44"/>
      <c r="M26" s="45"/>
      <c r="N26" s="46"/>
      <c r="O26" s="46"/>
      <c r="P26" s="49"/>
      <c r="Q26" s="48"/>
      <c r="R26" s="48"/>
      <c r="S26" s="48"/>
      <c r="T26" s="30"/>
    </row>
    <row r="27" spans="2:20" ht="14.15" customHeight="1" x14ac:dyDescent="0.6">
      <c r="B27" s="42"/>
      <c r="C27" s="42"/>
      <c r="D27" s="42"/>
      <c r="E27" s="43"/>
      <c r="F27" s="44"/>
      <c r="G27" s="44"/>
      <c r="H27" s="44"/>
      <c r="I27" s="44"/>
      <c r="J27" s="44"/>
      <c r="K27" s="59"/>
      <c r="L27" s="44"/>
      <c r="M27" s="45"/>
      <c r="N27" s="46"/>
      <c r="O27" s="46"/>
      <c r="P27" s="49"/>
      <c r="Q27" s="48"/>
      <c r="R27" s="48"/>
      <c r="S27" s="48"/>
      <c r="T27" s="30"/>
    </row>
    <row r="28" spans="2:20" ht="14.15" customHeight="1" x14ac:dyDescent="0.6">
      <c r="B28" s="42"/>
      <c r="C28" s="42"/>
      <c r="D28" s="42"/>
      <c r="E28" s="43"/>
      <c r="F28" s="44"/>
      <c r="G28" s="44"/>
      <c r="H28" s="44"/>
      <c r="I28" s="44"/>
      <c r="J28" s="44"/>
      <c r="K28" s="59"/>
      <c r="L28" s="44"/>
      <c r="M28" s="45"/>
      <c r="N28" s="46"/>
      <c r="O28" s="46"/>
      <c r="P28" s="49"/>
      <c r="Q28" s="48"/>
      <c r="R28" s="48"/>
      <c r="S28" s="48"/>
      <c r="T28" s="30"/>
    </row>
    <row r="29" spans="2:20" ht="14.15" customHeight="1" x14ac:dyDescent="0.6">
      <c r="B29" s="42"/>
      <c r="C29" s="42"/>
      <c r="D29" s="42"/>
      <c r="E29" s="43"/>
      <c r="F29" s="44"/>
      <c r="G29" s="44"/>
      <c r="H29" s="44"/>
      <c r="I29" s="44"/>
      <c r="J29" s="44"/>
      <c r="K29" s="59"/>
      <c r="L29" s="44"/>
      <c r="M29" s="45"/>
      <c r="N29" s="46"/>
      <c r="O29" s="46"/>
      <c r="P29" s="49"/>
      <c r="Q29" s="48"/>
      <c r="R29" s="48"/>
      <c r="S29" s="48"/>
      <c r="T29" s="30"/>
    </row>
    <row r="30" spans="2:20" ht="14.15" customHeight="1" x14ac:dyDescent="0.6">
      <c r="B30" s="42"/>
      <c r="C30" s="42"/>
      <c r="D30" s="42"/>
      <c r="E30" s="43"/>
      <c r="F30" s="44"/>
      <c r="G30" s="44"/>
      <c r="H30" s="44"/>
      <c r="I30" s="44"/>
      <c r="J30" s="44"/>
      <c r="K30" s="59"/>
      <c r="L30" s="44"/>
      <c r="M30" s="45"/>
      <c r="N30" s="46"/>
      <c r="O30" s="46"/>
      <c r="P30" s="49"/>
      <c r="Q30" s="48"/>
      <c r="R30" s="48"/>
      <c r="S30" s="48"/>
      <c r="T30" s="30"/>
    </row>
    <row r="31" spans="2:20" ht="14.15" customHeight="1" x14ac:dyDescent="0.6">
      <c r="B31" s="42"/>
      <c r="C31" s="42"/>
      <c r="D31" s="42"/>
      <c r="E31" s="43"/>
      <c r="F31" s="44"/>
      <c r="G31" s="44"/>
      <c r="H31" s="44"/>
      <c r="I31" s="44"/>
      <c r="J31" s="44"/>
      <c r="K31" s="59"/>
      <c r="L31" s="44"/>
      <c r="M31" s="45"/>
      <c r="N31" s="46"/>
      <c r="O31" s="46"/>
      <c r="P31" s="49"/>
      <c r="Q31" s="48"/>
      <c r="R31" s="48"/>
      <c r="S31" s="48"/>
      <c r="T31" s="30"/>
    </row>
    <row r="32" spans="2:20" ht="14.15" customHeight="1" x14ac:dyDescent="0.6">
      <c r="B32" s="42"/>
      <c r="C32" s="42"/>
      <c r="D32" s="42"/>
      <c r="E32" s="43"/>
      <c r="F32" s="44"/>
      <c r="G32" s="44"/>
      <c r="H32" s="44"/>
      <c r="I32" s="44"/>
      <c r="J32" s="44"/>
      <c r="K32" s="59"/>
      <c r="L32" s="44"/>
      <c r="M32" s="45"/>
      <c r="N32" s="46"/>
      <c r="O32" s="46"/>
      <c r="P32" s="49"/>
      <c r="Q32" s="48"/>
      <c r="R32" s="48"/>
      <c r="S32" s="48"/>
      <c r="T32" s="30"/>
    </row>
    <row r="33" spans="2:20" ht="14.15" customHeight="1" x14ac:dyDescent="0.6">
      <c r="B33" s="42"/>
      <c r="C33" s="42"/>
      <c r="D33" s="42"/>
      <c r="E33" s="43"/>
      <c r="F33" s="44"/>
      <c r="G33" s="44"/>
      <c r="H33" s="44"/>
      <c r="I33" s="44"/>
      <c r="J33" s="44"/>
      <c r="K33" s="59"/>
      <c r="L33" s="44"/>
      <c r="M33" s="45"/>
      <c r="N33" s="46"/>
      <c r="O33" s="46"/>
      <c r="P33" s="49"/>
      <c r="Q33" s="48"/>
      <c r="R33" s="48"/>
      <c r="S33" s="48"/>
      <c r="T33" s="30"/>
    </row>
    <row r="34" spans="2:20" ht="14.15" customHeight="1" x14ac:dyDescent="0.6">
      <c r="B34" s="42"/>
      <c r="C34" s="42"/>
      <c r="D34" s="42"/>
      <c r="E34" s="43"/>
      <c r="F34" s="44"/>
      <c r="G34" s="44"/>
      <c r="H34" s="44"/>
      <c r="I34" s="44"/>
      <c r="J34" s="44"/>
      <c r="K34" s="59"/>
      <c r="L34" s="44"/>
      <c r="M34" s="45"/>
      <c r="N34" s="46"/>
      <c r="O34" s="46"/>
      <c r="P34" s="49"/>
      <c r="Q34" s="48"/>
      <c r="R34" s="48"/>
      <c r="S34" s="48"/>
      <c r="T34" s="30"/>
    </row>
    <row r="35" spans="2:20" ht="14.15" customHeight="1" x14ac:dyDescent="0.6">
      <c r="B35" s="42"/>
      <c r="C35" s="42"/>
      <c r="D35" s="42"/>
      <c r="E35" s="43"/>
      <c r="F35" s="44"/>
      <c r="G35" s="44"/>
      <c r="H35" s="44"/>
      <c r="I35" s="44"/>
      <c r="J35" s="44"/>
      <c r="K35" s="59"/>
      <c r="L35" s="44"/>
      <c r="M35" s="45"/>
      <c r="N35" s="46"/>
      <c r="O35" s="46"/>
      <c r="P35" s="49"/>
      <c r="Q35" s="48"/>
      <c r="R35" s="48"/>
      <c r="S35" s="48"/>
      <c r="T35" s="30"/>
    </row>
    <row r="36" spans="2:20" ht="14.15" customHeight="1" x14ac:dyDescent="0.6">
      <c r="B36" s="42"/>
      <c r="C36" s="42"/>
      <c r="D36" s="42"/>
      <c r="E36" s="43"/>
      <c r="F36" s="44"/>
      <c r="G36" s="44"/>
      <c r="H36" s="44"/>
      <c r="I36" s="44"/>
      <c r="J36" s="44"/>
      <c r="K36" s="59"/>
      <c r="L36" s="44"/>
      <c r="M36" s="45"/>
      <c r="N36" s="46"/>
      <c r="O36" s="46"/>
      <c r="P36" s="49"/>
      <c r="Q36" s="48"/>
      <c r="R36" s="48"/>
      <c r="S36" s="48"/>
      <c r="T36" s="30"/>
    </row>
    <row r="37" spans="2:20" ht="14.15" customHeight="1" x14ac:dyDescent="0.6">
      <c r="B37" s="42"/>
      <c r="C37" s="42"/>
      <c r="D37" s="42"/>
      <c r="E37" s="43"/>
      <c r="F37" s="44"/>
      <c r="G37" s="44"/>
      <c r="H37" s="44"/>
      <c r="I37" s="44"/>
      <c r="J37" s="44"/>
      <c r="K37" s="59"/>
      <c r="L37" s="44"/>
      <c r="M37" s="45"/>
      <c r="N37" s="46"/>
      <c r="O37" s="46"/>
      <c r="P37" s="49"/>
      <c r="Q37" s="48"/>
      <c r="R37" s="48"/>
      <c r="S37" s="48"/>
      <c r="T37" s="30"/>
    </row>
    <row r="38" spans="2:20" ht="14.15" customHeight="1" x14ac:dyDescent="0.6">
      <c r="B38" s="42"/>
      <c r="C38" s="42"/>
      <c r="D38" s="42"/>
      <c r="E38" s="43"/>
      <c r="F38" s="44"/>
      <c r="G38" s="44"/>
      <c r="H38" s="44"/>
      <c r="I38" s="44"/>
      <c r="J38" s="44"/>
      <c r="K38" s="59"/>
      <c r="L38" s="44"/>
      <c r="M38" s="45"/>
      <c r="N38" s="46"/>
      <c r="O38" s="46"/>
      <c r="P38" s="49"/>
      <c r="Q38" s="48"/>
      <c r="R38" s="48"/>
      <c r="S38" s="48"/>
      <c r="T38" s="30"/>
    </row>
    <row r="39" spans="2:20" ht="14.15" customHeight="1" x14ac:dyDescent="0.6">
      <c r="B39" s="42"/>
      <c r="C39" s="42"/>
      <c r="D39" s="42"/>
      <c r="E39" s="43"/>
      <c r="F39" s="44"/>
      <c r="G39" s="44"/>
      <c r="H39" s="44"/>
      <c r="I39" s="44"/>
      <c r="J39" s="44"/>
      <c r="K39" s="59"/>
      <c r="L39" s="44"/>
      <c r="M39" s="45"/>
      <c r="N39" s="46"/>
      <c r="O39" s="46"/>
      <c r="P39" s="49"/>
      <c r="Q39" s="48"/>
      <c r="R39" s="48"/>
      <c r="S39" s="48"/>
      <c r="T39" s="30"/>
    </row>
    <row r="40" spans="2:20" ht="14.15" customHeight="1" x14ac:dyDescent="0.6">
      <c r="B40" s="42"/>
      <c r="C40" s="42"/>
      <c r="D40" s="42"/>
      <c r="E40" s="43"/>
      <c r="F40" s="44"/>
      <c r="G40" s="44"/>
      <c r="H40" s="44"/>
      <c r="I40" s="44"/>
      <c r="J40" s="44"/>
      <c r="K40" s="59"/>
      <c r="L40" s="44"/>
      <c r="M40" s="45"/>
      <c r="N40" s="46"/>
      <c r="O40" s="46"/>
      <c r="P40" s="49"/>
      <c r="Q40" s="48"/>
      <c r="R40" s="48"/>
      <c r="S40" s="48"/>
      <c r="T40" s="30"/>
    </row>
    <row r="41" spans="2:20" ht="14.15" customHeight="1" x14ac:dyDescent="0.6">
      <c r="B41" s="42"/>
      <c r="C41" s="42"/>
      <c r="D41" s="42"/>
      <c r="E41" s="43"/>
      <c r="F41" s="44"/>
      <c r="G41" s="44"/>
      <c r="H41" s="44"/>
      <c r="I41" s="44"/>
      <c r="J41" s="44"/>
      <c r="K41" s="59"/>
      <c r="L41" s="44"/>
      <c r="M41" s="45"/>
      <c r="N41" s="46"/>
      <c r="O41" s="46"/>
      <c r="P41" s="49"/>
      <c r="Q41" s="48"/>
      <c r="R41" s="48"/>
      <c r="S41" s="48"/>
      <c r="T41" s="30"/>
    </row>
    <row r="42" spans="2:20" ht="14.15" customHeight="1" x14ac:dyDescent="0.6">
      <c r="B42" s="42"/>
      <c r="C42" s="42"/>
      <c r="D42" s="42"/>
      <c r="E42" s="43"/>
      <c r="F42" s="44"/>
      <c r="G42" s="44"/>
      <c r="H42" s="44"/>
      <c r="I42" s="44"/>
      <c r="J42" s="44"/>
      <c r="K42" s="59"/>
      <c r="L42" s="44"/>
      <c r="M42" s="45"/>
      <c r="N42" s="46"/>
      <c r="O42" s="46"/>
      <c r="P42" s="49"/>
      <c r="Q42" s="48"/>
      <c r="R42" s="48"/>
      <c r="S42" s="48"/>
      <c r="T42" s="30"/>
    </row>
    <row r="43" spans="2:20" ht="14.15" customHeight="1" x14ac:dyDescent="0.6">
      <c r="B43" s="42"/>
      <c r="C43" s="42"/>
      <c r="D43" s="42"/>
      <c r="E43" s="43"/>
      <c r="F43" s="44"/>
      <c r="G43" s="44"/>
      <c r="H43" s="44"/>
      <c r="I43" s="44"/>
      <c r="J43" s="44"/>
      <c r="K43" s="59"/>
      <c r="L43" s="44"/>
      <c r="M43" s="45"/>
      <c r="N43" s="46"/>
      <c r="O43" s="46"/>
      <c r="P43" s="49"/>
      <c r="Q43" s="48"/>
      <c r="R43" s="48"/>
      <c r="S43" s="48"/>
      <c r="T43" s="30"/>
    </row>
    <row r="44" spans="2:20" ht="14.15" customHeight="1" x14ac:dyDescent="0.6">
      <c r="B44" s="42"/>
      <c r="C44" s="42"/>
      <c r="D44" s="42"/>
      <c r="E44" s="43"/>
      <c r="F44" s="44"/>
      <c r="G44" s="44"/>
      <c r="H44" s="44"/>
      <c r="I44" s="44"/>
      <c r="J44" s="44"/>
      <c r="K44" s="59"/>
      <c r="L44" s="44"/>
      <c r="M44" s="45"/>
      <c r="N44" s="46"/>
      <c r="O44" s="46"/>
      <c r="P44" s="49"/>
      <c r="Q44" s="48"/>
      <c r="R44" s="48"/>
      <c r="S44" s="48"/>
      <c r="T44" s="30"/>
    </row>
    <row r="45" spans="2:20" ht="14.15" customHeight="1" x14ac:dyDescent="0.6">
      <c r="B45" s="42"/>
      <c r="C45" s="42"/>
      <c r="D45" s="42"/>
      <c r="E45" s="43"/>
      <c r="F45" s="44"/>
      <c r="G45" s="44"/>
      <c r="H45" s="44"/>
      <c r="I45" s="44"/>
      <c r="J45" s="44"/>
      <c r="K45" s="59"/>
      <c r="L45" s="44"/>
      <c r="M45" s="45"/>
      <c r="N45" s="46"/>
      <c r="O45" s="46"/>
      <c r="P45" s="49"/>
      <c r="Q45" s="48"/>
      <c r="R45" s="48"/>
      <c r="S45" s="48"/>
      <c r="T45" s="30"/>
    </row>
    <row r="46" spans="2:20" ht="14.15" customHeight="1" x14ac:dyDescent="0.6">
      <c r="B46" s="42"/>
      <c r="C46" s="42"/>
      <c r="D46" s="42"/>
      <c r="E46" s="43"/>
      <c r="F46" s="44"/>
      <c r="G46" s="44"/>
      <c r="H46" s="44"/>
      <c r="I46" s="44"/>
      <c r="J46" s="44"/>
      <c r="K46" s="59"/>
      <c r="L46" s="44"/>
      <c r="M46" s="45"/>
      <c r="N46" s="46"/>
      <c r="O46" s="46"/>
      <c r="P46" s="49"/>
      <c r="Q46" s="48"/>
      <c r="R46" s="48"/>
      <c r="S46" s="48"/>
      <c r="T46" s="30"/>
    </row>
    <row r="47" spans="2:20" ht="14.15" customHeight="1" x14ac:dyDescent="0.6">
      <c r="B47" s="42"/>
      <c r="C47" s="42"/>
      <c r="D47" s="42"/>
      <c r="E47" s="43"/>
      <c r="F47" s="44"/>
      <c r="G47" s="44"/>
      <c r="H47" s="44"/>
      <c r="I47" s="44"/>
      <c r="J47" s="44"/>
      <c r="K47" s="59"/>
      <c r="L47" s="44"/>
      <c r="M47" s="45"/>
      <c r="N47" s="46"/>
      <c r="O47" s="46"/>
      <c r="P47" s="49"/>
      <c r="Q47" s="48"/>
      <c r="R47" s="48"/>
      <c r="S47" s="48"/>
      <c r="T47" s="30"/>
    </row>
    <row r="48" spans="2:20" ht="14.15" customHeight="1" x14ac:dyDescent="0.6">
      <c r="B48" s="42"/>
      <c r="C48" s="42"/>
      <c r="D48" s="42"/>
      <c r="E48" s="43"/>
      <c r="F48" s="44"/>
      <c r="G48" s="44"/>
      <c r="H48" s="44"/>
      <c r="I48" s="44"/>
      <c r="J48" s="44"/>
      <c r="K48" s="59"/>
      <c r="L48" s="44"/>
      <c r="M48" s="45"/>
      <c r="N48" s="46"/>
      <c r="O48" s="46"/>
      <c r="P48" s="49"/>
      <c r="Q48" s="48"/>
      <c r="R48" s="48"/>
      <c r="S48" s="48"/>
      <c r="T48" s="30"/>
    </row>
    <row r="49" spans="2:20" ht="14.15" customHeight="1" x14ac:dyDescent="0.6">
      <c r="B49" s="42"/>
      <c r="C49" s="42"/>
      <c r="D49" s="42"/>
      <c r="E49" s="43"/>
      <c r="F49" s="44"/>
      <c r="G49" s="44"/>
      <c r="H49" s="44"/>
      <c r="I49" s="44"/>
      <c r="J49" s="44"/>
      <c r="K49" s="59"/>
      <c r="L49" s="44"/>
      <c r="M49" s="45"/>
      <c r="N49" s="46"/>
      <c r="O49" s="46"/>
      <c r="P49" s="49"/>
      <c r="Q49" s="48"/>
      <c r="R49" s="48"/>
      <c r="S49" s="48"/>
      <c r="T49" s="30"/>
    </row>
    <row r="50" spans="2:20" ht="14.15" customHeight="1" x14ac:dyDescent="0.6">
      <c r="B50" s="42"/>
      <c r="C50" s="42"/>
      <c r="D50" s="42"/>
      <c r="E50" s="43"/>
      <c r="F50" s="44"/>
      <c r="G50" s="44"/>
      <c r="H50" s="44"/>
      <c r="I50" s="44"/>
      <c r="J50" s="44"/>
      <c r="K50" s="59"/>
      <c r="L50" s="44"/>
      <c r="M50" s="45"/>
      <c r="N50" s="46"/>
      <c r="O50" s="46"/>
      <c r="P50" s="49"/>
      <c r="Q50" s="48"/>
      <c r="R50" s="48"/>
      <c r="S50" s="48"/>
      <c r="T50" s="30"/>
    </row>
    <row r="51" spans="2:20" ht="14.15" customHeight="1" x14ac:dyDescent="0.6">
      <c r="B51" s="42"/>
      <c r="C51" s="42"/>
      <c r="D51" s="42"/>
      <c r="E51" s="43"/>
      <c r="F51" s="44"/>
      <c r="G51" s="44"/>
      <c r="H51" s="44"/>
      <c r="I51" s="44"/>
      <c r="J51" s="44"/>
      <c r="K51" s="59"/>
      <c r="L51" s="44"/>
      <c r="M51" s="45"/>
      <c r="N51" s="46"/>
      <c r="O51" s="46"/>
      <c r="P51" s="49"/>
      <c r="Q51" s="48"/>
      <c r="R51" s="48"/>
      <c r="S51" s="48"/>
      <c r="T51" s="30"/>
    </row>
    <row r="52" spans="2:20" ht="14.15" customHeight="1" x14ac:dyDescent="0.6">
      <c r="B52" s="42"/>
      <c r="C52" s="42"/>
      <c r="D52" s="42"/>
      <c r="E52" s="43"/>
      <c r="F52" s="44"/>
      <c r="G52" s="44"/>
      <c r="H52" s="44"/>
      <c r="I52" s="44"/>
      <c r="J52" s="44"/>
      <c r="K52" s="59"/>
      <c r="L52" s="44"/>
      <c r="M52" s="45"/>
      <c r="N52" s="46"/>
      <c r="O52" s="46"/>
      <c r="P52" s="49"/>
      <c r="Q52" s="48"/>
      <c r="R52" s="48"/>
      <c r="S52" s="48"/>
      <c r="T52" s="30"/>
    </row>
    <row r="53" spans="2:20" ht="14.15" customHeight="1" x14ac:dyDescent="0.6">
      <c r="B53" s="42"/>
      <c r="C53" s="42"/>
      <c r="D53" s="42"/>
      <c r="E53" s="43"/>
      <c r="F53" s="44"/>
      <c r="G53" s="44"/>
      <c r="H53" s="44"/>
      <c r="I53" s="44"/>
      <c r="J53" s="44"/>
      <c r="K53" s="59"/>
      <c r="L53" s="44"/>
      <c r="M53" s="45"/>
      <c r="N53" s="46"/>
      <c r="O53" s="46"/>
      <c r="P53" s="49"/>
      <c r="Q53" s="48"/>
      <c r="R53" s="48"/>
      <c r="S53" s="48"/>
      <c r="T53" s="30"/>
    </row>
    <row r="54" spans="2:20" ht="14.15" customHeight="1" x14ac:dyDescent="0.6">
      <c r="B54" s="42"/>
      <c r="C54" s="42"/>
      <c r="D54" s="42"/>
      <c r="E54" s="43"/>
      <c r="F54" s="44"/>
      <c r="G54" s="44"/>
      <c r="H54" s="44"/>
      <c r="I54" s="44"/>
      <c r="J54" s="44"/>
      <c r="K54" s="59"/>
      <c r="L54" s="44"/>
      <c r="M54" s="45"/>
      <c r="N54" s="46"/>
      <c r="O54" s="46"/>
      <c r="P54" s="49"/>
      <c r="Q54" s="48"/>
      <c r="R54" s="48"/>
      <c r="S54" s="48"/>
      <c r="T54" s="30"/>
    </row>
    <row r="55" spans="2:20" ht="14.15" customHeight="1" x14ac:dyDescent="0.6">
      <c r="B55" s="42"/>
      <c r="C55" s="42"/>
      <c r="D55" s="42"/>
      <c r="E55" s="43"/>
      <c r="F55" s="44"/>
      <c r="G55" s="44"/>
      <c r="H55" s="44"/>
      <c r="I55" s="44"/>
      <c r="J55" s="44"/>
      <c r="K55" s="59"/>
      <c r="L55" s="44"/>
      <c r="M55" s="45"/>
      <c r="N55" s="46"/>
      <c r="O55" s="46"/>
      <c r="P55" s="49"/>
      <c r="Q55" s="48"/>
      <c r="R55" s="48"/>
      <c r="S55" s="48"/>
      <c r="T55" s="30"/>
    </row>
    <row r="56" spans="2:20" ht="14.15" customHeight="1" x14ac:dyDescent="0.6">
      <c r="B56" s="42"/>
      <c r="C56" s="42"/>
      <c r="D56" s="42"/>
      <c r="E56" s="43"/>
      <c r="F56" s="44"/>
      <c r="G56" s="44"/>
      <c r="H56" s="44"/>
      <c r="I56" s="44"/>
      <c r="J56" s="44"/>
      <c r="K56" s="59"/>
      <c r="L56" s="44"/>
      <c r="M56" s="45"/>
      <c r="N56" s="46"/>
      <c r="O56" s="46"/>
      <c r="P56" s="49"/>
      <c r="Q56" s="48"/>
      <c r="R56" s="48"/>
      <c r="S56" s="48"/>
      <c r="T56" s="30"/>
    </row>
    <row r="57" spans="2:20" ht="14.15" customHeight="1" x14ac:dyDescent="0.6">
      <c r="B57" s="42"/>
      <c r="C57" s="42"/>
      <c r="D57" s="42"/>
      <c r="E57" s="43"/>
      <c r="F57" s="44"/>
      <c r="G57" s="44"/>
      <c r="H57" s="44"/>
      <c r="I57" s="44"/>
      <c r="J57" s="44"/>
      <c r="K57" s="59"/>
      <c r="L57" s="44"/>
      <c r="M57" s="45"/>
      <c r="N57" s="46"/>
      <c r="O57" s="46"/>
      <c r="P57" s="49"/>
      <c r="Q57" s="48"/>
      <c r="R57" s="48"/>
      <c r="S57" s="48"/>
      <c r="T57" s="30"/>
    </row>
    <row r="58" spans="2:20" ht="14.15" customHeight="1" x14ac:dyDescent="0.6">
      <c r="B58" s="42"/>
      <c r="C58" s="42"/>
      <c r="D58" s="42"/>
      <c r="E58" s="43"/>
      <c r="F58" s="44"/>
      <c r="G58" s="44"/>
      <c r="H58" s="44"/>
      <c r="I58" s="44"/>
      <c r="J58" s="44"/>
      <c r="K58" s="59"/>
      <c r="L58" s="44"/>
      <c r="M58" s="45"/>
      <c r="N58" s="46"/>
      <c r="O58" s="46"/>
      <c r="P58" s="49"/>
      <c r="Q58" s="48"/>
      <c r="R58" s="48"/>
      <c r="S58" s="48"/>
      <c r="T58" s="30"/>
    </row>
    <row r="59" spans="2:20" ht="14.15" customHeight="1" x14ac:dyDescent="0.6">
      <c r="B59" s="42"/>
      <c r="C59" s="42"/>
      <c r="D59" s="42"/>
      <c r="E59" s="43"/>
      <c r="F59" s="44"/>
      <c r="G59" s="44"/>
      <c r="H59" s="44"/>
      <c r="I59" s="44"/>
      <c r="J59" s="44"/>
      <c r="K59" s="59"/>
      <c r="L59" s="44"/>
      <c r="M59" s="45"/>
      <c r="N59" s="46"/>
      <c r="O59" s="46"/>
      <c r="P59" s="49"/>
      <c r="Q59" s="48"/>
      <c r="R59" s="48"/>
      <c r="S59" s="48"/>
      <c r="T59" s="30"/>
    </row>
    <row r="60" spans="2:20" ht="14.15" customHeight="1" x14ac:dyDescent="0.6">
      <c r="B60" s="42"/>
      <c r="C60" s="42"/>
      <c r="D60" s="42"/>
      <c r="E60" s="43"/>
      <c r="F60" s="44"/>
      <c r="G60" s="44"/>
      <c r="H60" s="44"/>
      <c r="I60" s="44"/>
      <c r="J60" s="44"/>
      <c r="K60" s="59"/>
      <c r="L60" s="44"/>
      <c r="M60" s="45"/>
      <c r="N60" s="46"/>
      <c r="O60" s="46"/>
      <c r="P60" s="49"/>
      <c r="Q60" s="48"/>
      <c r="R60" s="48"/>
      <c r="S60" s="48"/>
      <c r="T60" s="30"/>
    </row>
    <row r="61" spans="2:20" ht="14.15" customHeight="1" x14ac:dyDescent="0.6">
      <c r="B61" s="42"/>
      <c r="C61" s="42"/>
      <c r="D61" s="42"/>
      <c r="E61" s="43"/>
      <c r="F61" s="44"/>
      <c r="G61" s="44"/>
      <c r="H61" s="44"/>
      <c r="I61" s="44"/>
      <c r="J61" s="44"/>
      <c r="K61" s="59"/>
      <c r="L61" s="44"/>
      <c r="M61" s="45"/>
      <c r="N61" s="46"/>
      <c r="O61" s="46"/>
      <c r="P61" s="49"/>
      <c r="Q61" s="48"/>
      <c r="R61" s="48"/>
      <c r="S61" s="48"/>
      <c r="T61" s="30"/>
    </row>
    <row r="62" spans="2:20" ht="14.15" customHeight="1" x14ac:dyDescent="0.6">
      <c r="B62" s="42"/>
      <c r="C62" s="42"/>
      <c r="D62" s="42"/>
      <c r="E62" s="43"/>
      <c r="F62" s="44"/>
      <c r="G62" s="44"/>
      <c r="H62" s="44"/>
      <c r="I62" s="44"/>
      <c r="J62" s="44"/>
      <c r="K62" s="59"/>
      <c r="L62" s="44"/>
      <c r="M62" s="45"/>
      <c r="N62" s="46"/>
      <c r="O62" s="46"/>
      <c r="P62" s="49"/>
      <c r="Q62" s="48"/>
      <c r="R62" s="48"/>
      <c r="S62" s="48"/>
      <c r="T62" s="30"/>
    </row>
    <row r="63" spans="2:20" ht="14.15" customHeight="1" x14ac:dyDescent="0.6">
      <c r="B63" s="42"/>
      <c r="C63" s="42"/>
      <c r="D63" s="42"/>
      <c r="E63" s="43"/>
      <c r="F63" s="44"/>
      <c r="G63" s="44"/>
      <c r="H63" s="44"/>
      <c r="I63" s="44"/>
      <c r="J63" s="44"/>
      <c r="K63" s="59"/>
      <c r="L63" s="44"/>
      <c r="M63" s="45"/>
      <c r="N63" s="46"/>
      <c r="O63" s="46"/>
      <c r="P63" s="49"/>
      <c r="Q63" s="48"/>
      <c r="R63" s="48"/>
      <c r="S63" s="48"/>
      <c r="T63" s="30"/>
    </row>
    <row r="64" spans="2:20" ht="14.15" customHeight="1" x14ac:dyDescent="0.6">
      <c r="B64" s="42"/>
      <c r="C64" s="42"/>
      <c r="D64" s="42"/>
      <c r="E64" s="43"/>
      <c r="F64" s="44"/>
      <c r="G64" s="44"/>
      <c r="H64" s="44"/>
      <c r="I64" s="44"/>
      <c r="J64" s="44"/>
      <c r="K64" s="59"/>
      <c r="L64" s="44"/>
      <c r="M64" s="45"/>
      <c r="N64" s="46"/>
      <c r="O64" s="46"/>
      <c r="P64" s="49"/>
      <c r="Q64" s="48"/>
      <c r="R64" s="48"/>
      <c r="S64" s="48"/>
      <c r="T64" s="30"/>
    </row>
    <row r="65" spans="2:20" ht="14.15" customHeight="1" x14ac:dyDescent="0.6">
      <c r="B65" s="42"/>
      <c r="C65" s="42"/>
      <c r="D65" s="42"/>
      <c r="E65" s="43"/>
      <c r="F65" s="44"/>
      <c r="G65" s="44"/>
      <c r="H65" s="44"/>
      <c r="I65" s="44"/>
      <c r="J65" s="44"/>
      <c r="K65" s="59"/>
      <c r="L65" s="44"/>
      <c r="M65" s="45"/>
      <c r="N65" s="46"/>
      <c r="O65" s="46"/>
      <c r="P65" s="49"/>
      <c r="Q65" s="48"/>
      <c r="R65" s="48"/>
      <c r="S65" s="48"/>
      <c r="T65" s="30"/>
    </row>
    <row r="66" spans="2:20" ht="14.15" customHeight="1" x14ac:dyDescent="0.6">
      <c r="B66" s="42"/>
      <c r="C66" s="42"/>
      <c r="D66" s="42"/>
      <c r="E66" s="43"/>
      <c r="F66" s="44"/>
      <c r="G66" s="44"/>
      <c r="H66" s="44"/>
      <c r="I66" s="44"/>
      <c r="J66" s="44"/>
      <c r="K66" s="59"/>
      <c r="L66" s="44"/>
      <c r="M66" s="45"/>
      <c r="N66" s="46"/>
      <c r="O66" s="46"/>
      <c r="P66" s="49"/>
      <c r="Q66" s="48"/>
      <c r="R66" s="48"/>
      <c r="S66" s="48"/>
      <c r="T66" s="30"/>
    </row>
    <row r="67" spans="2:20" ht="14.15" customHeight="1" x14ac:dyDescent="0.6">
      <c r="B67" s="42"/>
      <c r="C67" s="42"/>
      <c r="D67" s="42"/>
      <c r="E67" s="43"/>
      <c r="F67" s="44"/>
      <c r="G67" s="44"/>
      <c r="H67" s="44"/>
      <c r="I67" s="44"/>
      <c r="J67" s="44"/>
      <c r="K67" s="59"/>
      <c r="L67" s="44"/>
      <c r="M67" s="45"/>
      <c r="N67" s="46"/>
      <c r="O67" s="46"/>
      <c r="P67" s="49"/>
      <c r="Q67" s="48"/>
      <c r="R67" s="48"/>
      <c r="S67" s="48"/>
      <c r="T67" s="30"/>
    </row>
    <row r="68" spans="2:20" ht="14.15" customHeight="1" x14ac:dyDescent="0.6">
      <c r="B68" s="42"/>
      <c r="C68" s="42"/>
      <c r="D68" s="42"/>
      <c r="E68" s="43"/>
      <c r="F68" s="44"/>
      <c r="G68" s="44"/>
      <c r="H68" s="44"/>
      <c r="I68" s="44"/>
      <c r="J68" s="44"/>
      <c r="K68" s="59"/>
      <c r="L68" s="44"/>
      <c r="M68" s="45"/>
      <c r="N68" s="46"/>
      <c r="O68" s="46"/>
      <c r="P68" s="49"/>
      <c r="Q68" s="48"/>
      <c r="R68" s="48"/>
      <c r="S68" s="48"/>
      <c r="T68" s="30"/>
    </row>
    <row r="69" spans="2:20" ht="14.15" customHeight="1" x14ac:dyDescent="0.6">
      <c r="B69" s="42"/>
      <c r="C69" s="42"/>
      <c r="D69" s="42"/>
      <c r="E69" s="43"/>
      <c r="F69" s="44"/>
      <c r="G69" s="44"/>
      <c r="H69" s="44"/>
      <c r="I69" s="44"/>
      <c r="J69" s="44"/>
      <c r="K69" s="59"/>
      <c r="L69" s="44"/>
      <c r="M69" s="45"/>
      <c r="N69" s="46"/>
      <c r="O69" s="46"/>
      <c r="P69" s="49"/>
      <c r="Q69" s="48"/>
      <c r="R69" s="48"/>
      <c r="S69" s="48"/>
      <c r="T69" s="30"/>
    </row>
    <row r="70" spans="2:20" ht="14.15" customHeight="1" x14ac:dyDescent="0.6">
      <c r="B70" s="42"/>
      <c r="C70" s="42"/>
      <c r="D70" s="42"/>
      <c r="E70" s="43"/>
      <c r="F70" s="44"/>
      <c r="G70" s="44"/>
      <c r="H70" s="44"/>
      <c r="I70" s="44"/>
      <c r="J70" s="44"/>
      <c r="K70" s="59"/>
      <c r="L70" s="44"/>
      <c r="M70" s="45"/>
      <c r="N70" s="46"/>
      <c r="O70" s="46"/>
      <c r="P70" s="49"/>
      <c r="Q70" s="48"/>
      <c r="R70" s="48"/>
      <c r="S70" s="48"/>
      <c r="T70" s="30"/>
    </row>
    <row r="71" spans="2:20" ht="14.15" customHeight="1" x14ac:dyDescent="0.6">
      <c r="B71" s="42"/>
      <c r="C71" s="42"/>
      <c r="D71" s="42"/>
      <c r="E71" s="43"/>
      <c r="F71" s="44"/>
      <c r="G71" s="44"/>
      <c r="H71" s="44"/>
      <c r="I71" s="44"/>
      <c r="J71" s="44"/>
      <c r="K71" s="59"/>
      <c r="L71" s="44"/>
      <c r="M71" s="45"/>
      <c r="N71" s="46"/>
      <c r="O71" s="46"/>
      <c r="P71" s="49"/>
      <c r="Q71" s="48"/>
      <c r="R71" s="48"/>
      <c r="S71" s="48"/>
      <c r="T71" s="30"/>
    </row>
    <row r="72" spans="2:20" ht="14.15" customHeight="1" x14ac:dyDescent="0.6">
      <c r="B72" s="42"/>
      <c r="C72" s="42"/>
      <c r="D72" s="42"/>
      <c r="E72" s="43"/>
      <c r="F72" s="44"/>
      <c r="G72" s="44"/>
      <c r="H72" s="44"/>
      <c r="I72" s="44"/>
      <c r="J72" s="44"/>
      <c r="K72" s="59"/>
      <c r="L72" s="44"/>
      <c r="M72" s="45"/>
      <c r="N72" s="46"/>
      <c r="O72" s="46"/>
      <c r="P72" s="49"/>
      <c r="Q72" s="48"/>
      <c r="R72" s="48"/>
      <c r="S72" s="48"/>
      <c r="T72" s="30"/>
    </row>
    <row r="73" spans="2:20" ht="14.15" customHeight="1" x14ac:dyDescent="0.6">
      <c r="B73" s="42"/>
      <c r="C73" s="42"/>
      <c r="D73" s="42"/>
      <c r="E73" s="43"/>
      <c r="F73" s="44"/>
      <c r="G73" s="44"/>
      <c r="H73" s="44"/>
      <c r="I73" s="44"/>
      <c r="J73" s="44"/>
      <c r="K73" s="59"/>
      <c r="L73" s="44"/>
      <c r="M73" s="45"/>
      <c r="N73" s="46"/>
      <c r="O73" s="46"/>
      <c r="P73" s="49"/>
      <c r="Q73" s="48"/>
      <c r="R73" s="48"/>
      <c r="S73" s="48"/>
      <c r="T73" s="30"/>
    </row>
    <row r="74" spans="2:20" ht="14.15" customHeight="1" x14ac:dyDescent="0.6">
      <c r="B74" s="42"/>
      <c r="C74" s="42"/>
      <c r="D74" s="42"/>
      <c r="E74" s="43"/>
      <c r="F74" s="44"/>
      <c r="G74" s="44"/>
      <c r="H74" s="44"/>
      <c r="I74" s="44"/>
      <c r="J74" s="44"/>
      <c r="K74" s="59"/>
      <c r="L74" s="44"/>
      <c r="M74" s="45"/>
      <c r="N74" s="46"/>
      <c r="O74" s="46"/>
      <c r="P74" s="49"/>
      <c r="Q74" s="48"/>
      <c r="R74" s="48"/>
      <c r="S74" s="48"/>
      <c r="T74" s="30"/>
    </row>
    <row r="75" spans="2:20" ht="14.15" customHeight="1" x14ac:dyDescent="0.6">
      <c r="B75" s="42"/>
      <c r="C75" s="42"/>
      <c r="D75" s="42"/>
      <c r="E75" s="43"/>
      <c r="F75" s="44"/>
      <c r="G75" s="44"/>
      <c r="H75" s="44"/>
      <c r="I75" s="44"/>
      <c r="J75" s="44"/>
      <c r="K75" s="59"/>
      <c r="L75" s="44"/>
      <c r="M75" s="45"/>
      <c r="N75" s="46"/>
      <c r="O75" s="46"/>
      <c r="P75" s="49"/>
      <c r="Q75" s="48"/>
      <c r="R75" s="48"/>
      <c r="S75" s="48"/>
      <c r="T75" s="30"/>
    </row>
    <row r="76" spans="2:20" ht="14.15" customHeight="1" x14ac:dyDescent="0.6">
      <c r="B76" s="42"/>
      <c r="C76" s="42"/>
      <c r="D76" s="42"/>
      <c r="E76" s="43"/>
      <c r="F76" s="44"/>
      <c r="G76" s="44"/>
      <c r="H76" s="44"/>
      <c r="I76" s="44"/>
      <c r="J76" s="44"/>
      <c r="K76" s="59"/>
      <c r="L76" s="44"/>
      <c r="M76" s="45"/>
      <c r="N76" s="46"/>
      <c r="O76" s="46"/>
      <c r="P76" s="49"/>
      <c r="Q76" s="48"/>
      <c r="R76" s="48"/>
      <c r="S76" s="48"/>
      <c r="T76" s="30"/>
    </row>
    <row r="77" spans="2:20" ht="14.15" customHeight="1" x14ac:dyDescent="0.6">
      <c r="B77" s="42"/>
      <c r="C77" s="42"/>
      <c r="D77" s="42"/>
      <c r="E77" s="43"/>
      <c r="F77" s="44"/>
      <c r="G77" s="44"/>
      <c r="H77" s="44"/>
      <c r="I77" s="44"/>
      <c r="J77" s="44"/>
      <c r="K77" s="59"/>
      <c r="L77" s="44"/>
      <c r="M77" s="45"/>
      <c r="N77" s="46"/>
      <c r="O77" s="46"/>
      <c r="P77" s="49"/>
      <c r="Q77" s="48"/>
      <c r="R77" s="48"/>
      <c r="S77" s="48"/>
      <c r="T77" s="30"/>
    </row>
    <row r="78" spans="2:20" ht="14.15" customHeight="1" x14ac:dyDescent="0.6">
      <c r="B78" s="42"/>
      <c r="C78" s="42"/>
      <c r="D78" s="42"/>
      <c r="E78" s="43"/>
      <c r="F78" s="44"/>
      <c r="G78" s="44"/>
      <c r="H78" s="44"/>
      <c r="I78" s="44"/>
      <c r="J78" s="44"/>
      <c r="K78" s="59"/>
      <c r="L78" s="44"/>
      <c r="M78" s="45"/>
      <c r="N78" s="46"/>
      <c r="O78" s="46"/>
      <c r="P78" s="49"/>
      <c r="Q78" s="48"/>
      <c r="R78" s="48"/>
      <c r="S78" s="48"/>
      <c r="T78" s="30"/>
    </row>
    <row r="79" spans="2:20" ht="14.15" customHeight="1" x14ac:dyDescent="0.6">
      <c r="B79" s="42"/>
      <c r="C79" s="42"/>
      <c r="D79" s="42"/>
      <c r="E79" s="43"/>
      <c r="F79" s="44"/>
      <c r="G79" s="44"/>
      <c r="H79" s="44"/>
      <c r="I79" s="44"/>
      <c r="J79" s="44"/>
      <c r="K79" s="59"/>
      <c r="L79" s="44"/>
      <c r="M79" s="45"/>
      <c r="N79" s="46"/>
      <c r="O79" s="46"/>
      <c r="P79" s="49"/>
      <c r="Q79" s="48"/>
      <c r="R79" s="48"/>
      <c r="S79" s="48"/>
      <c r="T79" s="30"/>
    </row>
    <row r="80" spans="2:20" ht="14.15" customHeight="1" x14ac:dyDescent="0.6">
      <c r="B80" s="42"/>
      <c r="C80" s="42"/>
      <c r="D80" s="42"/>
      <c r="E80" s="43"/>
      <c r="F80" s="44"/>
      <c r="G80" s="44"/>
      <c r="H80" s="44"/>
      <c r="I80" s="44"/>
      <c r="J80" s="44"/>
      <c r="K80" s="59"/>
      <c r="L80" s="44"/>
      <c r="M80" s="45"/>
      <c r="N80" s="46"/>
      <c r="O80" s="46"/>
      <c r="P80" s="49"/>
      <c r="Q80" s="48"/>
      <c r="R80" s="48"/>
      <c r="S80" s="48"/>
      <c r="T80" s="30"/>
    </row>
    <row r="81" spans="2:20" ht="14.15" customHeight="1" x14ac:dyDescent="0.6">
      <c r="B81" s="42"/>
      <c r="C81" s="42"/>
      <c r="D81" s="42"/>
      <c r="E81" s="43"/>
      <c r="F81" s="44"/>
      <c r="G81" s="44"/>
      <c r="H81" s="44"/>
      <c r="I81" s="44"/>
      <c r="J81" s="44"/>
      <c r="K81" s="59"/>
      <c r="L81" s="44"/>
      <c r="M81" s="45"/>
      <c r="N81" s="46"/>
      <c r="O81" s="46"/>
      <c r="P81" s="49"/>
      <c r="Q81" s="48"/>
      <c r="R81" s="48"/>
      <c r="S81" s="48"/>
      <c r="T81" s="30"/>
    </row>
    <row r="82" spans="2:20" ht="14.15" customHeight="1" x14ac:dyDescent="0.6">
      <c r="B82" s="42"/>
      <c r="C82" s="42"/>
      <c r="D82" s="42"/>
      <c r="E82" s="43"/>
      <c r="F82" s="44"/>
      <c r="G82" s="44"/>
      <c r="H82" s="44"/>
      <c r="I82" s="44"/>
      <c r="J82" s="44"/>
      <c r="K82" s="59"/>
      <c r="L82" s="44"/>
      <c r="M82" s="45"/>
      <c r="N82" s="46"/>
      <c r="O82" s="46"/>
      <c r="P82" s="49"/>
      <c r="Q82" s="48"/>
      <c r="R82" s="48"/>
      <c r="S82" s="48"/>
      <c r="T82" s="30"/>
    </row>
    <row r="83" spans="2:20" ht="14.15" customHeight="1" x14ac:dyDescent="0.6">
      <c r="B83" s="42"/>
      <c r="C83" s="42"/>
      <c r="D83" s="42"/>
      <c r="E83" s="43"/>
      <c r="F83" s="44"/>
      <c r="G83" s="44"/>
      <c r="H83" s="44"/>
      <c r="I83" s="44"/>
      <c r="J83" s="44"/>
      <c r="K83" s="59"/>
      <c r="L83" s="44"/>
      <c r="M83" s="45"/>
      <c r="N83" s="46"/>
      <c r="O83" s="46"/>
      <c r="P83" s="49"/>
      <c r="Q83" s="48"/>
      <c r="R83" s="48"/>
      <c r="S83" s="48"/>
      <c r="T83" s="30"/>
    </row>
    <row r="84" spans="2:20" ht="14.15" customHeight="1" x14ac:dyDescent="0.6">
      <c r="B84" s="42"/>
      <c r="C84" s="42"/>
      <c r="D84" s="42"/>
      <c r="E84" s="43"/>
      <c r="F84" s="44"/>
      <c r="G84" s="44"/>
      <c r="H84" s="44"/>
      <c r="I84" s="44"/>
      <c r="J84" s="44"/>
      <c r="K84" s="59"/>
      <c r="L84" s="44"/>
      <c r="M84" s="45"/>
      <c r="N84" s="46"/>
      <c r="O84" s="46"/>
      <c r="P84" s="49"/>
      <c r="Q84" s="48"/>
      <c r="R84" s="48"/>
      <c r="S84" s="48"/>
      <c r="T84" s="30"/>
    </row>
    <row r="85" spans="2:20" ht="14.15" customHeight="1" x14ac:dyDescent="0.6">
      <c r="B85" s="42"/>
      <c r="C85" s="42"/>
      <c r="D85" s="42"/>
      <c r="E85" s="43"/>
      <c r="F85" s="44"/>
      <c r="G85" s="44"/>
      <c r="H85" s="44"/>
      <c r="I85" s="44"/>
      <c r="J85" s="44"/>
      <c r="K85" s="59"/>
      <c r="L85" s="44"/>
      <c r="M85" s="45"/>
      <c r="N85" s="46"/>
      <c r="O85" s="46"/>
      <c r="P85" s="49"/>
      <c r="Q85" s="48"/>
      <c r="R85" s="48"/>
      <c r="S85" s="48"/>
      <c r="T85" s="30"/>
    </row>
    <row r="86" spans="2:20" ht="14.15" customHeight="1" x14ac:dyDescent="0.6">
      <c r="B86" s="42"/>
      <c r="C86" s="42"/>
      <c r="D86" s="42"/>
      <c r="E86" s="43"/>
      <c r="F86" s="44"/>
      <c r="G86" s="44"/>
      <c r="H86" s="44"/>
      <c r="I86" s="44"/>
      <c r="J86" s="44"/>
      <c r="K86" s="59"/>
      <c r="L86" s="44"/>
      <c r="M86" s="45"/>
      <c r="N86" s="46"/>
      <c r="O86" s="46"/>
      <c r="P86" s="49"/>
      <c r="Q86" s="48"/>
      <c r="R86" s="48"/>
      <c r="S86" s="48"/>
      <c r="T86" s="30"/>
    </row>
    <row r="87" spans="2:20" ht="14.15" customHeight="1" x14ac:dyDescent="0.6">
      <c r="B87" s="42"/>
      <c r="C87" s="42"/>
      <c r="D87" s="42"/>
      <c r="E87" s="43"/>
      <c r="F87" s="44"/>
      <c r="G87" s="44"/>
      <c r="H87" s="44"/>
      <c r="I87" s="44"/>
      <c r="J87" s="44"/>
      <c r="K87" s="59"/>
      <c r="L87" s="44"/>
      <c r="M87" s="45"/>
      <c r="N87" s="46"/>
      <c r="O87" s="46"/>
      <c r="P87" s="49"/>
      <c r="Q87" s="48"/>
      <c r="R87" s="48"/>
      <c r="S87" s="48"/>
      <c r="T87" s="30"/>
    </row>
    <row r="88" spans="2:20" ht="14.15" customHeight="1" x14ac:dyDescent="0.6">
      <c r="B88" s="42"/>
      <c r="C88" s="42"/>
      <c r="D88" s="42"/>
      <c r="E88" s="43"/>
      <c r="F88" s="44"/>
      <c r="G88" s="44"/>
      <c r="H88" s="44"/>
      <c r="I88" s="44"/>
      <c r="J88" s="44"/>
      <c r="K88" s="59"/>
      <c r="L88" s="44"/>
      <c r="M88" s="45"/>
      <c r="N88" s="46"/>
      <c r="O88" s="46"/>
      <c r="P88" s="49"/>
      <c r="Q88" s="48"/>
      <c r="R88" s="48"/>
      <c r="S88" s="48"/>
      <c r="T88" s="30"/>
    </row>
    <row r="89" spans="2:20" ht="14.15" customHeight="1" x14ac:dyDescent="0.6">
      <c r="B89" s="42"/>
      <c r="C89" s="42"/>
      <c r="D89" s="42"/>
      <c r="E89" s="43"/>
      <c r="F89" s="44"/>
      <c r="G89" s="44"/>
      <c r="H89" s="44"/>
      <c r="I89" s="44"/>
      <c r="J89" s="44"/>
      <c r="K89" s="59"/>
      <c r="L89" s="44"/>
      <c r="M89" s="45"/>
      <c r="N89" s="46"/>
      <c r="O89" s="46"/>
      <c r="P89" s="49"/>
      <c r="Q89" s="48"/>
      <c r="R89" s="48"/>
      <c r="S89" s="48"/>
      <c r="T89" s="30"/>
    </row>
    <row r="90" spans="2:20" ht="14.15" customHeight="1" x14ac:dyDescent="0.6">
      <c r="B90" s="42"/>
      <c r="C90" s="42"/>
      <c r="D90" s="42"/>
      <c r="E90" s="43"/>
      <c r="F90" s="44"/>
      <c r="G90" s="44"/>
      <c r="H90" s="44"/>
      <c r="I90" s="44"/>
      <c r="J90" s="44"/>
      <c r="K90" s="59"/>
      <c r="L90" s="44"/>
      <c r="M90" s="45"/>
      <c r="N90" s="46"/>
      <c r="O90" s="46"/>
      <c r="P90" s="49"/>
      <c r="Q90" s="48"/>
      <c r="R90" s="48"/>
      <c r="S90" s="48"/>
      <c r="T90" s="30"/>
    </row>
    <row r="91" spans="2:20" ht="14.15" customHeight="1" x14ac:dyDescent="0.6">
      <c r="B91" s="42"/>
      <c r="C91" s="42"/>
      <c r="D91" s="42"/>
      <c r="E91" s="43"/>
      <c r="F91" s="44"/>
      <c r="G91" s="44"/>
      <c r="H91" s="44"/>
      <c r="I91" s="44"/>
      <c r="J91" s="44"/>
      <c r="K91" s="59"/>
      <c r="L91" s="44"/>
      <c r="M91" s="45"/>
      <c r="N91" s="46"/>
      <c r="O91" s="46"/>
      <c r="P91" s="49"/>
      <c r="Q91" s="48"/>
      <c r="R91" s="48"/>
      <c r="S91" s="48"/>
      <c r="T91" s="30"/>
    </row>
    <row r="92" spans="2:20" ht="14.15" customHeight="1" x14ac:dyDescent="0.6">
      <c r="B92" s="50"/>
      <c r="C92" s="50"/>
      <c r="D92" s="50"/>
      <c r="E92" s="45"/>
      <c r="F92" s="51"/>
      <c r="G92" s="45"/>
      <c r="H92" s="45"/>
      <c r="I92" s="45"/>
      <c r="J92" s="45"/>
      <c r="K92" s="60"/>
      <c r="L92" s="45"/>
      <c r="M92" s="45"/>
      <c r="N92" s="46"/>
      <c r="O92" s="46"/>
      <c r="P92" s="49"/>
      <c r="Q92" s="48"/>
      <c r="R92" s="48"/>
      <c r="S92" s="48"/>
      <c r="T92" s="30"/>
    </row>
    <row r="93" spans="2:20" ht="14.15" customHeight="1" x14ac:dyDescent="0.6">
      <c r="B93" s="50"/>
      <c r="C93" s="50"/>
      <c r="D93" s="50"/>
      <c r="E93" s="45"/>
      <c r="F93" s="51"/>
      <c r="G93" s="45"/>
      <c r="H93" s="45"/>
      <c r="I93" s="45"/>
      <c r="J93" s="45"/>
      <c r="K93" s="60"/>
      <c r="L93" s="45"/>
      <c r="M93" s="45"/>
      <c r="N93" s="46"/>
      <c r="O93" s="46"/>
      <c r="P93" s="49"/>
      <c r="Q93" s="48"/>
      <c r="R93" s="48"/>
      <c r="S93" s="48"/>
      <c r="T93" s="30"/>
    </row>
    <row r="94" spans="2:20" ht="14.15" customHeight="1" x14ac:dyDescent="0.6">
      <c r="B94" s="50"/>
      <c r="C94" s="50"/>
      <c r="D94" s="50"/>
      <c r="E94" s="45"/>
      <c r="F94" s="51"/>
      <c r="G94" s="45"/>
      <c r="H94" s="45"/>
      <c r="I94" s="45"/>
      <c r="J94" s="45"/>
      <c r="K94" s="60"/>
      <c r="L94" s="45"/>
      <c r="M94" s="45"/>
      <c r="N94" s="46"/>
      <c r="O94" s="46"/>
      <c r="P94" s="49"/>
      <c r="Q94" s="52"/>
      <c r="R94" s="52"/>
      <c r="S94" s="52"/>
      <c r="T94" s="30"/>
    </row>
    <row r="95" spans="2:20" ht="14.15" customHeight="1" x14ac:dyDescent="0.6">
      <c r="B95" s="50"/>
      <c r="C95" s="50"/>
      <c r="D95" s="50"/>
      <c r="E95" s="45"/>
      <c r="F95" s="51"/>
      <c r="G95" s="45"/>
      <c r="H95" s="45"/>
      <c r="I95" s="45"/>
      <c r="J95" s="45"/>
      <c r="K95" s="60"/>
      <c r="L95" s="45"/>
      <c r="M95" s="45"/>
      <c r="N95" s="46"/>
      <c r="O95" s="46"/>
      <c r="P95" s="49"/>
      <c r="Q95" s="52"/>
      <c r="R95" s="52"/>
      <c r="S95" s="52"/>
      <c r="T95" s="30"/>
    </row>
    <row r="96" spans="2:20" ht="14.15" customHeight="1" x14ac:dyDescent="0.6">
      <c r="B96" s="50"/>
      <c r="C96" s="50"/>
      <c r="D96" s="50"/>
      <c r="E96" s="45"/>
      <c r="F96" s="51"/>
      <c r="G96" s="45"/>
      <c r="H96" s="45"/>
      <c r="I96" s="45"/>
      <c r="J96" s="45"/>
      <c r="K96" s="60"/>
      <c r="L96" s="45"/>
      <c r="M96" s="45"/>
      <c r="N96" s="46"/>
      <c r="O96" s="46"/>
      <c r="P96" s="49"/>
      <c r="Q96" s="52"/>
      <c r="R96" s="52"/>
      <c r="S96" s="52"/>
      <c r="T96" s="30"/>
    </row>
    <row r="97" spans="2:20" ht="14.15" customHeight="1" x14ac:dyDescent="0.6">
      <c r="B97" s="50"/>
      <c r="C97" s="50"/>
      <c r="D97" s="50"/>
      <c r="E97" s="45"/>
      <c r="F97" s="51"/>
      <c r="G97" s="45"/>
      <c r="H97" s="45"/>
      <c r="I97" s="45"/>
      <c r="J97" s="45"/>
      <c r="K97" s="60"/>
      <c r="L97" s="45"/>
      <c r="M97" s="45"/>
      <c r="N97" s="46"/>
      <c r="O97" s="46"/>
      <c r="P97" s="49"/>
      <c r="Q97" s="52"/>
      <c r="R97" s="52"/>
      <c r="S97" s="52"/>
      <c r="T97" s="30"/>
    </row>
    <row r="98" spans="2:20" ht="14.15" customHeight="1" x14ac:dyDescent="0.6">
      <c r="B98" s="50"/>
      <c r="C98" s="50"/>
      <c r="D98" s="50"/>
      <c r="E98" s="45"/>
      <c r="F98" s="51"/>
      <c r="G98" s="45"/>
      <c r="H98" s="45"/>
      <c r="I98" s="45"/>
      <c r="J98" s="45"/>
      <c r="K98" s="60"/>
      <c r="L98" s="45"/>
      <c r="M98" s="45"/>
      <c r="N98" s="46"/>
      <c r="O98" s="46"/>
      <c r="P98" s="49"/>
      <c r="Q98" s="52"/>
      <c r="R98" s="52"/>
      <c r="S98" s="52"/>
      <c r="T98" s="30"/>
    </row>
    <row r="99" spans="2:20" ht="14.15" customHeight="1" x14ac:dyDescent="0.6">
      <c r="B99" s="50"/>
      <c r="C99" s="50"/>
      <c r="D99" s="50"/>
      <c r="E99" s="45"/>
      <c r="F99" s="51"/>
      <c r="G99" s="45"/>
      <c r="H99" s="45"/>
      <c r="I99" s="45"/>
      <c r="J99" s="45"/>
      <c r="K99" s="60"/>
      <c r="L99" s="45"/>
      <c r="M99" s="45"/>
      <c r="N99" s="46"/>
      <c r="O99" s="46"/>
      <c r="P99" s="49"/>
      <c r="Q99" s="52"/>
      <c r="R99" s="52"/>
      <c r="S99" s="52"/>
      <c r="T99" s="30"/>
    </row>
    <row r="100" spans="2:20" ht="14.15" customHeight="1" x14ac:dyDescent="0.6">
      <c r="B100" s="50"/>
      <c r="C100" s="50"/>
      <c r="D100" s="50"/>
      <c r="E100" s="45"/>
      <c r="F100" s="51"/>
      <c r="G100" s="45"/>
      <c r="H100" s="45"/>
      <c r="I100" s="45"/>
      <c r="J100" s="45"/>
      <c r="K100" s="60"/>
      <c r="L100" s="45"/>
      <c r="M100" s="45"/>
      <c r="N100" s="46"/>
      <c r="O100" s="46"/>
      <c r="P100" s="49"/>
      <c r="Q100" s="52"/>
      <c r="R100" s="52"/>
      <c r="S100" s="52"/>
      <c r="T100" s="30"/>
    </row>
    <row r="101" spans="2:20" ht="14.15" customHeight="1" x14ac:dyDescent="0.6">
      <c r="B101" s="50"/>
      <c r="C101" s="50"/>
      <c r="D101" s="50"/>
      <c r="E101" s="45"/>
      <c r="F101" s="51"/>
      <c r="G101" s="45"/>
      <c r="H101" s="45"/>
      <c r="I101" s="45"/>
      <c r="J101" s="45"/>
      <c r="K101" s="60"/>
      <c r="L101" s="45"/>
      <c r="M101" s="45"/>
      <c r="N101" s="46"/>
      <c r="O101" s="46"/>
      <c r="P101" s="49"/>
      <c r="Q101" s="52"/>
      <c r="R101" s="52"/>
      <c r="S101" s="52"/>
      <c r="T101" s="30"/>
    </row>
    <row r="102" spans="2:20" ht="14.15" customHeight="1" x14ac:dyDescent="0.6">
      <c r="B102" s="50"/>
      <c r="C102" s="50"/>
      <c r="D102" s="50"/>
      <c r="E102" s="45"/>
      <c r="F102" s="51"/>
      <c r="G102" s="45"/>
      <c r="H102" s="45"/>
      <c r="I102" s="45"/>
      <c r="J102" s="45"/>
      <c r="K102" s="60"/>
      <c r="L102" s="45"/>
      <c r="M102" s="45"/>
      <c r="N102" s="46"/>
      <c r="O102" s="46"/>
      <c r="P102" s="49"/>
      <c r="Q102" s="52"/>
      <c r="R102" s="52"/>
      <c r="S102" s="52"/>
      <c r="T102" s="30"/>
    </row>
    <row r="103" spans="2:20" ht="14.15" customHeight="1" x14ac:dyDescent="0.6">
      <c r="B103" s="50"/>
      <c r="C103" s="50"/>
      <c r="D103" s="50"/>
      <c r="E103" s="45"/>
      <c r="F103" s="51"/>
      <c r="G103" s="45"/>
      <c r="H103" s="45"/>
      <c r="I103" s="45"/>
      <c r="J103" s="45"/>
      <c r="K103" s="60"/>
      <c r="L103" s="45"/>
      <c r="M103" s="45"/>
      <c r="N103" s="46"/>
      <c r="O103" s="46"/>
      <c r="P103" s="49"/>
      <c r="Q103" s="52"/>
      <c r="R103" s="52"/>
      <c r="S103" s="52"/>
      <c r="T103" s="30"/>
    </row>
    <row r="104" spans="2:20" ht="14.15" customHeight="1" x14ac:dyDescent="0.6">
      <c r="B104" s="50"/>
      <c r="C104" s="50"/>
      <c r="D104" s="50"/>
      <c r="E104" s="45"/>
      <c r="F104" s="51"/>
      <c r="G104" s="45"/>
      <c r="H104" s="45"/>
      <c r="I104" s="45"/>
      <c r="J104" s="45"/>
      <c r="K104" s="60"/>
      <c r="L104" s="45"/>
      <c r="M104" s="45"/>
      <c r="N104" s="46"/>
      <c r="O104" s="46"/>
      <c r="P104" s="49"/>
      <c r="Q104" s="52"/>
      <c r="R104" s="52"/>
      <c r="S104" s="52"/>
      <c r="T104" s="30"/>
    </row>
    <row r="105" spans="2:20" ht="14.15" customHeight="1" x14ac:dyDescent="0.6">
      <c r="B105" s="50"/>
      <c r="C105" s="50"/>
      <c r="D105" s="50"/>
      <c r="E105" s="45"/>
      <c r="F105" s="51"/>
      <c r="G105" s="45"/>
      <c r="H105" s="45"/>
      <c r="I105" s="45"/>
      <c r="J105" s="45"/>
      <c r="K105" s="60"/>
      <c r="L105" s="45"/>
      <c r="M105" s="45"/>
      <c r="N105" s="46"/>
      <c r="O105" s="46"/>
      <c r="P105" s="49"/>
      <c r="Q105" s="52"/>
      <c r="R105" s="52"/>
      <c r="S105" s="52"/>
      <c r="T105" s="30"/>
    </row>
    <row r="106" spans="2:20" ht="14.15" customHeight="1" x14ac:dyDescent="0.6">
      <c r="B106" s="50"/>
      <c r="C106" s="50"/>
      <c r="D106" s="50"/>
      <c r="E106" s="45"/>
      <c r="F106" s="51"/>
      <c r="G106" s="45"/>
      <c r="H106" s="45"/>
      <c r="I106" s="45"/>
      <c r="J106" s="45"/>
      <c r="K106" s="60"/>
      <c r="L106" s="45"/>
      <c r="M106" s="45"/>
      <c r="N106" s="46"/>
      <c r="O106" s="46"/>
      <c r="P106" s="49"/>
      <c r="Q106" s="52"/>
      <c r="R106" s="52"/>
      <c r="S106" s="52"/>
      <c r="T106" s="30"/>
    </row>
    <row r="107" spans="2:20" ht="14.15" customHeight="1" x14ac:dyDescent="0.6">
      <c r="B107" s="50"/>
      <c r="C107" s="50"/>
      <c r="D107" s="50"/>
      <c r="E107" s="45"/>
      <c r="F107" s="51"/>
      <c r="G107" s="45"/>
      <c r="H107" s="45"/>
      <c r="I107" s="45"/>
      <c r="J107" s="45"/>
      <c r="K107" s="60"/>
      <c r="L107" s="45"/>
      <c r="M107" s="45"/>
      <c r="N107" s="46"/>
      <c r="O107" s="46"/>
      <c r="P107" s="49"/>
      <c r="Q107" s="52"/>
      <c r="R107" s="52"/>
      <c r="S107" s="52"/>
      <c r="T107" s="30"/>
    </row>
    <row r="108" spans="2:20" ht="14.15" customHeight="1" x14ac:dyDescent="0.6">
      <c r="B108" s="50"/>
      <c r="C108" s="50"/>
      <c r="D108" s="50"/>
      <c r="E108" s="45"/>
      <c r="F108" s="51"/>
      <c r="G108" s="45"/>
      <c r="H108" s="45"/>
      <c r="I108" s="45"/>
      <c r="J108" s="45"/>
      <c r="K108" s="60"/>
      <c r="L108" s="45"/>
      <c r="M108" s="45"/>
      <c r="N108" s="46"/>
      <c r="O108" s="46"/>
      <c r="P108" s="49"/>
      <c r="Q108" s="52"/>
      <c r="R108" s="52"/>
      <c r="S108" s="52"/>
      <c r="T108" s="30"/>
    </row>
    <row r="109" spans="2:20" ht="14.15" customHeight="1" x14ac:dyDescent="0.6">
      <c r="B109" s="50"/>
      <c r="C109" s="50"/>
      <c r="D109" s="50"/>
      <c r="E109" s="45"/>
      <c r="F109" s="51"/>
      <c r="G109" s="45"/>
      <c r="H109" s="45"/>
      <c r="I109" s="45"/>
      <c r="J109" s="45"/>
      <c r="K109" s="60"/>
      <c r="L109" s="45"/>
      <c r="M109" s="45"/>
      <c r="N109" s="46"/>
      <c r="O109" s="46"/>
      <c r="P109" s="49"/>
      <c r="Q109" s="52"/>
      <c r="R109" s="52"/>
      <c r="S109" s="52"/>
      <c r="T109" s="30"/>
    </row>
    <row r="110" spans="2:20" ht="14.15" customHeight="1" x14ac:dyDescent="0.6">
      <c r="B110" s="50"/>
      <c r="C110" s="50"/>
      <c r="D110" s="50"/>
      <c r="E110" s="45"/>
      <c r="F110" s="51"/>
      <c r="G110" s="45"/>
      <c r="H110" s="45"/>
      <c r="I110" s="45"/>
      <c r="J110" s="45"/>
      <c r="K110" s="60"/>
      <c r="L110" s="45"/>
      <c r="M110" s="45"/>
      <c r="N110" s="46"/>
      <c r="O110" s="46"/>
      <c r="P110" s="49"/>
      <c r="Q110" s="52"/>
      <c r="R110" s="52"/>
      <c r="S110" s="52"/>
      <c r="T110" s="30"/>
    </row>
    <row r="111" spans="2:20" ht="14.15" customHeight="1" x14ac:dyDescent="0.6">
      <c r="B111" s="50"/>
      <c r="C111" s="50"/>
      <c r="D111" s="50"/>
      <c r="E111" s="45"/>
      <c r="F111" s="51"/>
      <c r="G111" s="45"/>
      <c r="H111" s="45"/>
      <c r="I111" s="45"/>
      <c r="J111" s="45"/>
      <c r="K111" s="60"/>
      <c r="L111" s="45"/>
      <c r="M111" s="45"/>
      <c r="N111" s="46"/>
      <c r="O111" s="46"/>
      <c r="P111" s="49"/>
      <c r="Q111" s="52"/>
      <c r="R111" s="52"/>
      <c r="S111" s="52"/>
      <c r="T111" s="30"/>
    </row>
    <row r="112" spans="2:20" ht="14.15" customHeight="1" x14ac:dyDescent="0.6">
      <c r="B112" s="50"/>
      <c r="C112" s="50"/>
      <c r="D112" s="50"/>
      <c r="E112" s="45"/>
      <c r="F112" s="51"/>
      <c r="G112" s="45"/>
      <c r="H112" s="45"/>
      <c r="I112" s="45"/>
      <c r="J112" s="45"/>
      <c r="K112" s="60"/>
      <c r="L112" s="45"/>
      <c r="M112" s="45"/>
      <c r="N112" s="46"/>
      <c r="O112" s="46"/>
      <c r="P112" s="49"/>
      <c r="Q112" s="52"/>
      <c r="R112" s="52"/>
      <c r="S112" s="52"/>
      <c r="T112" s="30"/>
    </row>
    <row r="113" spans="2:20" ht="14.15" customHeight="1" x14ac:dyDescent="0.6">
      <c r="B113" s="50"/>
      <c r="C113" s="50"/>
      <c r="D113" s="50"/>
      <c r="E113" s="45"/>
      <c r="F113" s="51"/>
      <c r="G113" s="45"/>
      <c r="H113" s="45"/>
      <c r="I113" s="45"/>
      <c r="J113" s="45"/>
      <c r="K113" s="60"/>
      <c r="L113" s="45"/>
      <c r="M113" s="45"/>
      <c r="N113" s="46"/>
      <c r="O113" s="46"/>
      <c r="P113" s="49"/>
      <c r="Q113" s="52"/>
      <c r="R113" s="52"/>
      <c r="S113" s="52"/>
      <c r="T113" s="30"/>
    </row>
    <row r="114" spans="2:20" ht="14.15" customHeight="1" x14ac:dyDescent="0.6">
      <c r="B114" s="50"/>
      <c r="C114" s="50"/>
      <c r="D114" s="50"/>
      <c r="E114" s="45"/>
      <c r="F114" s="51"/>
      <c r="G114" s="45"/>
      <c r="H114" s="45"/>
      <c r="I114" s="45"/>
      <c r="J114" s="45"/>
      <c r="K114" s="60"/>
      <c r="L114" s="45"/>
      <c r="M114" s="45"/>
      <c r="N114" s="46"/>
      <c r="O114" s="46"/>
      <c r="P114" s="49"/>
      <c r="Q114" s="52"/>
      <c r="R114" s="52"/>
      <c r="S114" s="52"/>
      <c r="T114" s="30"/>
    </row>
    <row r="115" spans="2:20" ht="14.15" customHeight="1" x14ac:dyDescent="0.6">
      <c r="B115" s="50"/>
      <c r="C115" s="50"/>
      <c r="D115" s="50"/>
      <c r="E115" s="45"/>
      <c r="F115" s="51"/>
      <c r="G115" s="45"/>
      <c r="H115" s="45"/>
      <c r="I115" s="45"/>
      <c r="J115" s="45"/>
      <c r="K115" s="60"/>
      <c r="L115" s="45"/>
      <c r="M115" s="45"/>
      <c r="N115" s="46"/>
      <c r="O115" s="46"/>
      <c r="P115" s="49"/>
      <c r="Q115" s="52"/>
      <c r="R115" s="52"/>
      <c r="S115" s="52"/>
      <c r="T115" s="30"/>
    </row>
    <row r="116" spans="2:20" ht="14.15" customHeight="1" x14ac:dyDescent="0.6">
      <c r="B116" s="50"/>
      <c r="C116" s="50"/>
      <c r="D116" s="50"/>
      <c r="E116" s="45"/>
      <c r="F116" s="51"/>
      <c r="G116" s="45"/>
      <c r="H116" s="45"/>
      <c r="I116" s="45"/>
      <c r="J116" s="45"/>
      <c r="K116" s="60"/>
      <c r="L116" s="45"/>
      <c r="M116" s="45"/>
      <c r="N116" s="46"/>
      <c r="O116" s="46"/>
      <c r="P116" s="49"/>
      <c r="Q116" s="52"/>
      <c r="R116" s="52"/>
      <c r="S116" s="52"/>
      <c r="T116" s="30"/>
    </row>
    <row r="117" spans="2:20" ht="14.15" customHeight="1" x14ac:dyDescent="0.6">
      <c r="B117" s="50"/>
      <c r="C117" s="50"/>
      <c r="D117" s="50"/>
      <c r="E117" s="45"/>
      <c r="F117" s="51"/>
      <c r="G117" s="45"/>
      <c r="H117" s="45"/>
      <c r="I117" s="45"/>
      <c r="J117" s="45"/>
      <c r="K117" s="60"/>
      <c r="L117" s="45"/>
      <c r="M117" s="45"/>
      <c r="N117" s="46"/>
      <c r="O117" s="46"/>
      <c r="P117" s="49"/>
      <c r="Q117" s="52"/>
      <c r="R117" s="52"/>
      <c r="S117" s="52"/>
      <c r="T117" s="30"/>
    </row>
    <row r="118" spans="2:20" ht="14.15" customHeight="1" x14ac:dyDescent="0.6">
      <c r="B118" s="50"/>
      <c r="C118" s="50"/>
      <c r="D118" s="50"/>
      <c r="E118" s="45"/>
      <c r="F118" s="51"/>
      <c r="G118" s="45"/>
      <c r="H118" s="45"/>
      <c r="I118" s="45"/>
      <c r="J118" s="45"/>
      <c r="K118" s="60"/>
      <c r="L118" s="45"/>
      <c r="M118" s="45"/>
      <c r="N118" s="46"/>
      <c r="O118" s="46"/>
      <c r="P118" s="49"/>
      <c r="Q118" s="52"/>
      <c r="R118" s="52"/>
      <c r="S118" s="52"/>
      <c r="T118" s="30"/>
    </row>
    <row r="119" spans="2:20" ht="14.15" customHeight="1" x14ac:dyDescent="0.6">
      <c r="B119" s="50"/>
      <c r="C119" s="50"/>
      <c r="D119" s="50"/>
      <c r="E119" s="45"/>
      <c r="F119" s="51"/>
      <c r="G119" s="45"/>
      <c r="H119" s="45"/>
      <c r="I119" s="45"/>
      <c r="J119" s="45"/>
      <c r="K119" s="60"/>
      <c r="L119" s="45"/>
      <c r="M119" s="45"/>
      <c r="N119" s="46"/>
      <c r="O119" s="46"/>
      <c r="P119" s="49"/>
      <c r="Q119" s="52"/>
      <c r="R119" s="52"/>
      <c r="S119" s="52"/>
      <c r="T119" s="30"/>
    </row>
    <row r="120" spans="2:20" ht="14.15" customHeight="1" x14ac:dyDescent="0.6">
      <c r="B120" s="50"/>
      <c r="C120" s="50"/>
      <c r="D120" s="50"/>
      <c r="E120" s="45"/>
      <c r="F120" s="51"/>
      <c r="G120" s="45"/>
      <c r="H120" s="45"/>
      <c r="I120" s="45"/>
      <c r="J120" s="45"/>
      <c r="K120" s="60"/>
      <c r="L120" s="45"/>
      <c r="M120" s="45"/>
      <c r="N120" s="46"/>
      <c r="O120" s="46"/>
      <c r="P120" s="49"/>
      <c r="Q120" s="52"/>
      <c r="R120" s="52"/>
      <c r="S120" s="52"/>
      <c r="T120" s="30"/>
    </row>
    <row r="121" spans="2:20" ht="14.15" customHeight="1" x14ac:dyDescent="0.6">
      <c r="B121" s="50"/>
      <c r="C121" s="50"/>
      <c r="D121" s="50"/>
      <c r="E121" s="45"/>
      <c r="F121" s="51"/>
      <c r="G121" s="45"/>
      <c r="H121" s="45"/>
      <c r="I121" s="45"/>
      <c r="J121" s="45"/>
      <c r="K121" s="60"/>
      <c r="L121" s="45"/>
      <c r="M121" s="45"/>
      <c r="N121" s="46"/>
      <c r="O121" s="46"/>
      <c r="P121" s="49"/>
      <c r="Q121" s="52"/>
      <c r="R121" s="52"/>
      <c r="S121" s="52"/>
      <c r="T121" s="30"/>
    </row>
    <row r="122" spans="2:20" ht="14.15" customHeight="1" x14ac:dyDescent="0.6">
      <c r="B122" s="50"/>
      <c r="C122" s="50"/>
      <c r="D122" s="50"/>
      <c r="E122" s="45"/>
      <c r="F122" s="51"/>
      <c r="G122" s="45"/>
      <c r="H122" s="45"/>
      <c r="I122" s="45"/>
      <c r="J122" s="45"/>
      <c r="K122" s="60"/>
      <c r="L122" s="45"/>
      <c r="M122" s="45"/>
      <c r="N122" s="46"/>
      <c r="O122" s="46"/>
      <c r="P122" s="49"/>
      <c r="Q122" s="52"/>
      <c r="R122" s="52"/>
      <c r="S122" s="52"/>
      <c r="T122" s="30"/>
    </row>
    <row r="123" spans="2:20" ht="14.15" customHeight="1" x14ac:dyDescent="0.6">
      <c r="B123" s="50"/>
      <c r="C123" s="50"/>
      <c r="D123" s="50"/>
      <c r="E123" s="45"/>
      <c r="F123" s="51"/>
      <c r="G123" s="45"/>
      <c r="H123" s="45"/>
      <c r="I123" s="45"/>
      <c r="J123" s="45"/>
      <c r="K123" s="60"/>
      <c r="L123" s="45"/>
      <c r="M123" s="45"/>
      <c r="N123" s="46"/>
      <c r="O123" s="46"/>
      <c r="P123" s="49"/>
      <c r="Q123" s="52"/>
      <c r="R123" s="52"/>
      <c r="S123" s="52"/>
      <c r="T123" s="30"/>
    </row>
    <row r="124" spans="2:20" ht="14.15" customHeight="1" x14ac:dyDescent="0.6">
      <c r="B124" s="50"/>
      <c r="C124" s="50"/>
      <c r="D124" s="50"/>
      <c r="E124" s="45"/>
      <c r="F124" s="51"/>
      <c r="G124" s="45"/>
      <c r="H124" s="45"/>
      <c r="I124" s="45"/>
      <c r="J124" s="45"/>
      <c r="K124" s="60"/>
      <c r="L124" s="45"/>
      <c r="M124" s="45"/>
      <c r="N124" s="46"/>
      <c r="O124" s="46"/>
      <c r="P124" s="49"/>
      <c r="Q124" s="52"/>
      <c r="R124" s="52"/>
      <c r="S124" s="52"/>
      <c r="T124" s="30"/>
    </row>
    <row r="125" spans="2:20" ht="14.15" customHeight="1" x14ac:dyDescent="0.6">
      <c r="B125" s="50"/>
      <c r="C125" s="50"/>
      <c r="D125" s="50"/>
      <c r="E125" s="45"/>
      <c r="F125" s="51"/>
      <c r="G125" s="45"/>
      <c r="H125" s="45"/>
      <c r="I125" s="45"/>
      <c r="J125" s="45"/>
      <c r="K125" s="60"/>
      <c r="L125" s="45"/>
      <c r="M125" s="45"/>
      <c r="N125" s="46"/>
      <c r="O125" s="46"/>
      <c r="P125" s="49"/>
      <c r="Q125" s="52"/>
      <c r="R125" s="52"/>
      <c r="S125" s="52"/>
      <c r="T125" s="30"/>
    </row>
    <row r="126" spans="2:20" ht="14.15" customHeight="1" x14ac:dyDescent="0.6">
      <c r="B126" s="50"/>
      <c r="C126" s="50"/>
      <c r="D126" s="50"/>
      <c r="E126" s="45"/>
      <c r="F126" s="51"/>
      <c r="G126" s="45"/>
      <c r="H126" s="45"/>
      <c r="I126" s="45"/>
      <c r="J126" s="45"/>
      <c r="K126" s="60"/>
      <c r="L126" s="45"/>
      <c r="M126" s="45"/>
      <c r="N126" s="46"/>
      <c r="O126" s="46"/>
      <c r="P126" s="49"/>
      <c r="Q126" s="52"/>
      <c r="R126" s="52"/>
      <c r="S126" s="52"/>
      <c r="T126" s="30"/>
    </row>
    <row r="127" spans="2:20" ht="14.15" customHeight="1" x14ac:dyDescent="0.6">
      <c r="B127" s="50"/>
      <c r="C127" s="50"/>
      <c r="D127" s="50"/>
      <c r="E127" s="45"/>
      <c r="F127" s="51"/>
      <c r="G127" s="45"/>
      <c r="H127" s="45"/>
      <c r="I127" s="45"/>
      <c r="J127" s="45"/>
      <c r="K127" s="60"/>
      <c r="L127" s="45"/>
      <c r="M127" s="45"/>
      <c r="N127" s="46"/>
      <c r="O127" s="46"/>
      <c r="P127" s="49"/>
      <c r="Q127" s="52"/>
      <c r="R127" s="52"/>
      <c r="S127" s="52"/>
      <c r="T127" s="30"/>
    </row>
    <row r="128" spans="2:20" ht="14.15" customHeight="1" x14ac:dyDescent="0.6">
      <c r="B128" s="50"/>
      <c r="C128" s="50"/>
      <c r="D128" s="50"/>
      <c r="E128" s="45"/>
      <c r="F128" s="51"/>
      <c r="G128" s="45"/>
      <c r="H128" s="45"/>
      <c r="I128" s="45"/>
      <c r="J128" s="45"/>
      <c r="K128" s="60"/>
      <c r="L128" s="45"/>
      <c r="M128" s="45"/>
      <c r="N128" s="46"/>
      <c r="O128" s="46"/>
      <c r="P128" s="49"/>
      <c r="Q128" s="52"/>
      <c r="R128" s="52"/>
      <c r="S128" s="52"/>
      <c r="T128" s="30"/>
    </row>
    <row r="129" spans="2:20" ht="14.15" customHeight="1" x14ac:dyDescent="0.6">
      <c r="B129" s="50"/>
      <c r="C129" s="50"/>
      <c r="D129" s="50"/>
      <c r="E129" s="45"/>
      <c r="F129" s="51"/>
      <c r="G129" s="45"/>
      <c r="H129" s="45"/>
      <c r="I129" s="45"/>
      <c r="J129" s="45"/>
      <c r="K129" s="60"/>
      <c r="L129" s="45"/>
      <c r="M129" s="45"/>
      <c r="N129" s="46"/>
      <c r="O129" s="46"/>
      <c r="P129" s="49"/>
      <c r="Q129" s="52"/>
      <c r="R129" s="52"/>
      <c r="S129" s="52"/>
      <c r="T129" s="30"/>
    </row>
    <row r="130" spans="2:20" ht="14.15" customHeight="1" x14ac:dyDescent="0.6">
      <c r="B130" s="50"/>
      <c r="C130" s="50"/>
      <c r="D130" s="50"/>
      <c r="E130" s="45"/>
      <c r="F130" s="51"/>
      <c r="G130" s="45"/>
      <c r="H130" s="45"/>
      <c r="I130" s="45"/>
      <c r="J130" s="45"/>
      <c r="K130" s="60"/>
      <c r="L130" s="45"/>
      <c r="M130" s="45"/>
      <c r="N130" s="46"/>
      <c r="O130" s="46"/>
      <c r="P130" s="49"/>
      <c r="Q130" s="52"/>
      <c r="R130" s="52"/>
      <c r="S130" s="52"/>
      <c r="T130" s="30"/>
    </row>
    <row r="131" spans="2:20" ht="14.15" customHeight="1" x14ac:dyDescent="0.6">
      <c r="B131" s="50"/>
      <c r="C131" s="50"/>
      <c r="D131" s="50"/>
      <c r="E131" s="45"/>
      <c r="F131" s="51"/>
      <c r="G131" s="45"/>
      <c r="H131" s="45"/>
      <c r="I131" s="45"/>
      <c r="J131" s="45"/>
      <c r="K131" s="60"/>
      <c r="L131" s="45"/>
      <c r="M131" s="45"/>
      <c r="N131" s="46"/>
      <c r="O131" s="46"/>
      <c r="P131" s="49"/>
      <c r="Q131" s="52"/>
      <c r="R131" s="52"/>
      <c r="S131" s="52"/>
      <c r="T131" s="30"/>
    </row>
    <row r="132" spans="2:20" ht="14.15" customHeight="1" x14ac:dyDescent="0.6">
      <c r="B132" s="50"/>
      <c r="C132" s="50"/>
      <c r="D132" s="50"/>
      <c r="E132" s="45"/>
      <c r="F132" s="51"/>
      <c r="G132" s="45"/>
      <c r="H132" s="45"/>
      <c r="I132" s="45"/>
      <c r="J132" s="45"/>
      <c r="K132" s="60"/>
      <c r="L132" s="45"/>
      <c r="M132" s="45"/>
      <c r="N132" s="46"/>
      <c r="O132" s="46"/>
      <c r="P132" s="49"/>
      <c r="Q132" s="52"/>
      <c r="R132" s="52"/>
      <c r="S132" s="52"/>
      <c r="T132" s="30"/>
    </row>
    <row r="133" spans="2:20" ht="14.15" customHeight="1" x14ac:dyDescent="0.6">
      <c r="B133" s="50"/>
      <c r="C133" s="50"/>
      <c r="D133" s="50"/>
      <c r="E133" s="45"/>
      <c r="F133" s="51"/>
      <c r="G133" s="45"/>
      <c r="H133" s="45"/>
      <c r="I133" s="45"/>
      <c r="J133" s="45"/>
      <c r="K133" s="60"/>
      <c r="L133" s="45"/>
      <c r="M133" s="45"/>
      <c r="N133" s="46"/>
      <c r="O133" s="46"/>
      <c r="P133" s="49"/>
      <c r="Q133" s="52"/>
      <c r="R133" s="52"/>
      <c r="S133" s="52"/>
      <c r="T133" s="30"/>
    </row>
    <row r="134" spans="2:20" ht="14.15" customHeight="1" x14ac:dyDescent="0.6">
      <c r="B134" s="50"/>
      <c r="C134" s="50"/>
      <c r="D134" s="50"/>
      <c r="E134" s="45"/>
      <c r="F134" s="51"/>
      <c r="G134" s="45"/>
      <c r="H134" s="45"/>
      <c r="I134" s="45"/>
      <c r="J134" s="45"/>
      <c r="K134" s="60"/>
      <c r="L134" s="45"/>
      <c r="M134" s="45"/>
      <c r="N134" s="46"/>
      <c r="O134" s="46"/>
      <c r="P134" s="49"/>
      <c r="Q134" s="52"/>
      <c r="R134" s="52"/>
      <c r="S134" s="52"/>
      <c r="T134" s="30"/>
    </row>
    <row r="135" spans="2:20" ht="14.15" customHeight="1" x14ac:dyDescent="0.6">
      <c r="B135" s="50"/>
      <c r="C135" s="50"/>
      <c r="D135" s="50"/>
      <c r="E135" s="45"/>
      <c r="F135" s="51"/>
      <c r="G135" s="45"/>
      <c r="H135" s="45"/>
      <c r="I135" s="45"/>
      <c r="J135" s="45"/>
      <c r="K135" s="60"/>
      <c r="L135" s="45"/>
      <c r="M135" s="45"/>
      <c r="N135" s="46"/>
      <c r="O135" s="46"/>
      <c r="P135" s="49"/>
      <c r="Q135" s="52"/>
      <c r="R135" s="52"/>
      <c r="S135" s="52"/>
      <c r="T135" s="30"/>
    </row>
    <row r="136" spans="2:20" ht="14.15" customHeight="1" x14ac:dyDescent="0.6">
      <c r="B136" s="50"/>
      <c r="C136" s="50"/>
      <c r="D136" s="50"/>
      <c r="E136" s="45"/>
      <c r="F136" s="45"/>
      <c r="G136" s="45"/>
      <c r="H136" s="45"/>
      <c r="I136" s="45"/>
      <c r="J136" s="45"/>
      <c r="K136" s="60"/>
      <c r="L136" s="45"/>
      <c r="M136" s="45"/>
      <c r="N136" s="46"/>
      <c r="O136" s="46"/>
      <c r="P136" s="49"/>
      <c r="Q136" s="52"/>
      <c r="R136" s="52"/>
      <c r="S136" s="52"/>
      <c r="T136" s="30"/>
    </row>
    <row r="137" spans="2:20" ht="14.15" customHeight="1" x14ac:dyDescent="0.6">
      <c r="B137" s="50"/>
      <c r="C137" s="50"/>
      <c r="D137" s="50"/>
      <c r="E137" s="45"/>
      <c r="F137" s="45"/>
      <c r="G137" s="45"/>
      <c r="H137" s="45"/>
      <c r="I137" s="45"/>
      <c r="J137" s="45"/>
      <c r="K137" s="60"/>
      <c r="L137" s="45"/>
      <c r="M137" s="45"/>
      <c r="N137" s="46"/>
      <c r="O137" s="46"/>
      <c r="P137" s="49"/>
      <c r="Q137" s="52"/>
      <c r="R137" s="52"/>
      <c r="S137" s="52"/>
      <c r="T137" s="30"/>
    </row>
    <row r="138" spans="2:20" ht="14.15" customHeight="1" x14ac:dyDescent="0.6">
      <c r="B138" s="50"/>
      <c r="C138" s="50"/>
      <c r="D138" s="50"/>
      <c r="E138" s="45"/>
      <c r="F138" s="45"/>
      <c r="G138" s="45"/>
      <c r="H138" s="45"/>
      <c r="I138" s="45"/>
      <c r="J138" s="45"/>
      <c r="K138" s="60"/>
      <c r="L138" s="45"/>
      <c r="M138" s="45"/>
      <c r="N138" s="46"/>
      <c r="O138" s="46"/>
      <c r="P138" s="49"/>
      <c r="Q138" s="52"/>
      <c r="R138" s="52"/>
      <c r="S138" s="52"/>
      <c r="T138" s="30"/>
    </row>
    <row r="139" spans="2:20" ht="14.15" customHeight="1" x14ac:dyDescent="0.6">
      <c r="B139" s="50"/>
      <c r="C139" s="50"/>
      <c r="D139" s="50"/>
      <c r="E139" s="45"/>
      <c r="F139" s="45"/>
      <c r="G139" s="45"/>
      <c r="H139" s="45"/>
      <c r="I139" s="45"/>
      <c r="J139" s="45"/>
      <c r="K139" s="60"/>
      <c r="L139" s="45"/>
      <c r="M139" s="45"/>
      <c r="N139" s="46"/>
      <c r="O139" s="46"/>
      <c r="P139" s="49"/>
      <c r="Q139" s="52"/>
      <c r="R139" s="52"/>
      <c r="S139" s="52"/>
      <c r="T139" s="30"/>
    </row>
    <row r="140" spans="2:20" ht="14.15" customHeight="1" x14ac:dyDescent="0.6">
      <c r="B140" s="50"/>
      <c r="C140" s="50"/>
      <c r="D140" s="50"/>
      <c r="E140" s="45"/>
      <c r="F140" s="45"/>
      <c r="G140" s="45"/>
      <c r="H140" s="45"/>
      <c r="I140" s="45"/>
      <c r="J140" s="45"/>
      <c r="K140" s="60"/>
      <c r="L140" s="45"/>
      <c r="M140" s="45"/>
      <c r="N140" s="46"/>
      <c r="O140" s="46"/>
      <c r="P140" s="49"/>
      <c r="Q140" s="52"/>
      <c r="R140" s="52"/>
      <c r="S140" s="52"/>
      <c r="T140" s="30"/>
    </row>
    <row r="141" spans="2:20" ht="14.15" customHeight="1" x14ac:dyDescent="0.6">
      <c r="B141" s="50"/>
      <c r="C141" s="50"/>
      <c r="D141" s="50"/>
      <c r="E141" s="45"/>
      <c r="F141" s="45"/>
      <c r="G141" s="45"/>
      <c r="H141" s="45"/>
      <c r="I141" s="45"/>
      <c r="J141" s="45"/>
      <c r="K141" s="60"/>
      <c r="L141" s="45"/>
      <c r="M141" s="45"/>
      <c r="N141" s="46"/>
      <c r="O141" s="46"/>
      <c r="P141" s="49"/>
      <c r="Q141" s="52"/>
      <c r="R141" s="52"/>
      <c r="S141" s="52"/>
      <c r="T141" s="30"/>
    </row>
    <row r="142" spans="2:20" ht="14.15" customHeight="1" x14ac:dyDescent="0.6">
      <c r="B142" s="50"/>
      <c r="C142" s="50"/>
      <c r="D142" s="50"/>
      <c r="E142" s="45"/>
      <c r="F142" s="45"/>
      <c r="G142" s="45"/>
      <c r="H142" s="45"/>
      <c r="I142" s="45"/>
      <c r="J142" s="45"/>
      <c r="K142" s="60"/>
      <c r="L142" s="45"/>
      <c r="M142" s="45"/>
      <c r="N142" s="46"/>
      <c r="O142" s="46"/>
      <c r="P142" s="49"/>
      <c r="Q142" s="52"/>
      <c r="R142" s="52"/>
      <c r="S142" s="52"/>
      <c r="T142" s="30"/>
    </row>
    <row r="143" spans="2:20" ht="14.15" customHeight="1" x14ac:dyDescent="0.6">
      <c r="B143" s="50"/>
      <c r="C143" s="50"/>
      <c r="D143" s="50"/>
      <c r="E143" s="45"/>
      <c r="F143" s="45"/>
      <c r="G143" s="45"/>
      <c r="H143" s="45"/>
      <c r="I143" s="45"/>
      <c r="J143" s="45"/>
      <c r="K143" s="60"/>
      <c r="L143" s="45"/>
      <c r="M143" s="45"/>
      <c r="N143" s="46"/>
      <c r="O143" s="46"/>
      <c r="P143" s="49"/>
      <c r="Q143" s="52"/>
      <c r="R143" s="52"/>
      <c r="S143" s="52"/>
      <c r="T143" s="30"/>
    </row>
    <row r="144" spans="2:20" ht="14.15" customHeight="1" x14ac:dyDescent="0.6">
      <c r="B144" s="50"/>
      <c r="C144" s="50"/>
      <c r="D144" s="50"/>
      <c r="E144" s="45"/>
      <c r="F144" s="45"/>
      <c r="G144" s="45"/>
      <c r="H144" s="45"/>
      <c r="I144" s="45"/>
      <c r="J144" s="45"/>
      <c r="K144" s="60"/>
      <c r="L144" s="45"/>
      <c r="M144" s="45"/>
      <c r="N144" s="46"/>
      <c r="O144" s="46"/>
      <c r="P144" s="49"/>
      <c r="Q144" s="52"/>
      <c r="R144" s="52"/>
      <c r="S144" s="52"/>
      <c r="T144" s="30"/>
    </row>
    <row r="145" spans="2:20" ht="14.15" customHeight="1" x14ac:dyDescent="0.6">
      <c r="B145" s="50"/>
      <c r="C145" s="50"/>
      <c r="D145" s="50"/>
      <c r="E145" s="45"/>
      <c r="F145" s="45"/>
      <c r="G145" s="45"/>
      <c r="H145" s="45"/>
      <c r="I145" s="45"/>
      <c r="J145" s="45"/>
      <c r="K145" s="60"/>
      <c r="L145" s="45"/>
      <c r="M145" s="45"/>
      <c r="N145" s="46"/>
      <c r="O145" s="46"/>
      <c r="P145" s="49"/>
      <c r="Q145" s="52"/>
      <c r="R145" s="52"/>
      <c r="S145" s="52"/>
      <c r="T145" s="30"/>
    </row>
    <row r="146" spans="2:20" ht="14.15" customHeight="1" x14ac:dyDescent="0.6">
      <c r="B146" s="50"/>
      <c r="C146" s="50"/>
      <c r="D146" s="50"/>
      <c r="E146" s="45"/>
      <c r="F146" s="45"/>
      <c r="G146" s="45"/>
      <c r="H146" s="45"/>
      <c r="I146" s="45"/>
      <c r="J146" s="45"/>
      <c r="K146" s="60"/>
      <c r="L146" s="45"/>
      <c r="M146" s="45"/>
      <c r="N146" s="46"/>
      <c r="O146" s="46"/>
      <c r="P146" s="49"/>
      <c r="Q146" s="52"/>
      <c r="R146" s="52"/>
      <c r="S146" s="52"/>
      <c r="T146" s="30"/>
    </row>
    <row r="147" spans="2:20" ht="14.15" customHeight="1" x14ac:dyDescent="0.6">
      <c r="B147" s="50"/>
      <c r="C147" s="50"/>
      <c r="D147" s="50"/>
      <c r="E147" s="45"/>
      <c r="F147" s="45"/>
      <c r="G147" s="45"/>
      <c r="H147" s="45"/>
      <c r="I147" s="45"/>
      <c r="J147" s="45"/>
      <c r="K147" s="60"/>
      <c r="L147" s="45"/>
      <c r="M147" s="45"/>
      <c r="N147" s="46"/>
      <c r="O147" s="46"/>
      <c r="P147" s="49"/>
      <c r="Q147" s="52"/>
      <c r="R147" s="52"/>
      <c r="S147" s="52"/>
      <c r="T147" s="30"/>
    </row>
    <row r="148" spans="2:20" ht="14.15" customHeight="1" x14ac:dyDescent="0.6">
      <c r="B148" s="50"/>
      <c r="C148" s="50"/>
      <c r="D148" s="50"/>
      <c r="E148" s="45"/>
      <c r="F148" s="45"/>
      <c r="G148" s="45"/>
      <c r="H148" s="45"/>
      <c r="I148" s="45"/>
      <c r="J148" s="45"/>
      <c r="K148" s="60"/>
      <c r="L148" s="45"/>
      <c r="M148" s="45"/>
      <c r="N148" s="46"/>
      <c r="O148" s="46"/>
      <c r="P148" s="49"/>
      <c r="Q148" s="52"/>
      <c r="R148" s="52"/>
      <c r="S148" s="52"/>
      <c r="T148" s="30"/>
    </row>
    <row r="149" spans="2:20" ht="14.15" customHeight="1" x14ac:dyDescent="0.6">
      <c r="B149" s="50"/>
      <c r="C149" s="50"/>
      <c r="D149" s="50"/>
      <c r="E149" s="45"/>
      <c r="F149" s="45"/>
      <c r="G149" s="45"/>
      <c r="H149" s="45"/>
      <c r="I149" s="45"/>
      <c r="J149" s="45"/>
      <c r="K149" s="60"/>
      <c r="L149" s="45"/>
      <c r="M149" s="45"/>
      <c r="N149" s="46"/>
      <c r="O149" s="46"/>
      <c r="P149" s="49"/>
      <c r="Q149" s="52"/>
      <c r="R149" s="52"/>
      <c r="S149" s="52"/>
      <c r="T149" s="30"/>
    </row>
    <row r="150" spans="2:20" ht="14.15" customHeight="1" x14ac:dyDescent="0.6">
      <c r="B150" s="50"/>
      <c r="C150" s="50"/>
      <c r="D150" s="50"/>
      <c r="E150" s="45"/>
      <c r="F150" s="45"/>
      <c r="G150" s="45"/>
      <c r="H150" s="45"/>
      <c r="I150" s="45"/>
      <c r="J150" s="45"/>
      <c r="K150" s="60"/>
      <c r="L150" s="45"/>
      <c r="M150" s="45"/>
      <c r="N150" s="46"/>
      <c r="O150" s="46"/>
      <c r="P150" s="49"/>
      <c r="Q150" s="52"/>
      <c r="R150" s="52"/>
      <c r="S150" s="52"/>
      <c r="T150" s="30"/>
    </row>
    <row r="151" spans="2:20" ht="14.15" customHeight="1" x14ac:dyDescent="0.6">
      <c r="B151" s="50"/>
      <c r="C151" s="50"/>
      <c r="D151" s="50"/>
      <c r="E151" s="45"/>
      <c r="F151" s="45"/>
      <c r="G151" s="45"/>
      <c r="H151" s="45"/>
      <c r="I151" s="45"/>
      <c r="J151" s="45"/>
      <c r="K151" s="60"/>
      <c r="L151" s="45"/>
      <c r="M151" s="45"/>
      <c r="N151" s="46"/>
      <c r="O151" s="46"/>
      <c r="P151" s="49"/>
      <c r="Q151" s="52"/>
      <c r="R151" s="52"/>
      <c r="S151" s="52"/>
      <c r="T151" s="30"/>
    </row>
    <row r="152" spans="2:20" ht="14.15" customHeight="1" x14ac:dyDescent="0.6">
      <c r="B152" s="50"/>
      <c r="C152" s="50"/>
      <c r="D152" s="50"/>
      <c r="E152" s="45"/>
      <c r="F152" s="45"/>
      <c r="G152" s="45"/>
      <c r="H152" s="45"/>
      <c r="I152" s="45"/>
      <c r="J152" s="45"/>
      <c r="K152" s="60"/>
      <c r="L152" s="45"/>
      <c r="M152" s="45"/>
      <c r="N152" s="46"/>
      <c r="O152" s="46"/>
      <c r="P152" s="49"/>
      <c r="Q152" s="52"/>
      <c r="R152" s="52"/>
      <c r="S152" s="52"/>
      <c r="T152" s="30"/>
    </row>
    <row r="153" spans="2:20" ht="14.15" customHeight="1" x14ac:dyDescent="0.6">
      <c r="B153" s="50"/>
      <c r="C153" s="50"/>
      <c r="D153" s="50"/>
      <c r="E153" s="45"/>
      <c r="F153" s="45"/>
      <c r="G153" s="45"/>
      <c r="H153" s="45"/>
      <c r="I153" s="45"/>
      <c r="J153" s="45"/>
      <c r="K153" s="60"/>
      <c r="L153" s="45"/>
      <c r="M153" s="45"/>
      <c r="N153" s="46"/>
      <c r="O153" s="46"/>
      <c r="P153" s="49"/>
      <c r="Q153" s="52"/>
      <c r="R153" s="52"/>
      <c r="S153" s="52"/>
      <c r="T153" s="30"/>
    </row>
    <row r="154" spans="2:20" ht="14.15" customHeight="1" x14ac:dyDescent="0.6">
      <c r="B154" s="50"/>
      <c r="C154" s="50"/>
      <c r="D154" s="50"/>
      <c r="E154" s="45"/>
      <c r="F154" s="45"/>
      <c r="G154" s="45"/>
      <c r="H154" s="45"/>
      <c r="I154" s="45"/>
      <c r="J154" s="45"/>
      <c r="K154" s="60"/>
      <c r="L154" s="45"/>
      <c r="M154" s="45"/>
      <c r="N154" s="46"/>
      <c r="O154" s="46"/>
      <c r="P154" s="49"/>
      <c r="Q154" s="52"/>
      <c r="R154" s="52"/>
      <c r="S154" s="52"/>
      <c r="T154" s="30"/>
    </row>
    <row r="155" spans="2:20" ht="14.15" customHeight="1" x14ac:dyDescent="0.6">
      <c r="B155" s="50"/>
      <c r="C155" s="50"/>
      <c r="D155" s="50"/>
      <c r="E155" s="45"/>
      <c r="F155" s="45"/>
      <c r="G155" s="45"/>
      <c r="H155" s="45"/>
      <c r="I155" s="45"/>
      <c r="J155" s="45"/>
      <c r="K155" s="60"/>
      <c r="L155" s="45"/>
      <c r="M155" s="45"/>
      <c r="N155" s="46"/>
      <c r="O155" s="46"/>
      <c r="P155" s="49"/>
      <c r="Q155" s="52"/>
      <c r="R155" s="52"/>
      <c r="S155" s="52"/>
      <c r="T155" s="30"/>
    </row>
    <row r="156" spans="2:20" ht="14.15" customHeight="1" x14ac:dyDescent="0.6">
      <c r="B156" s="50"/>
      <c r="C156" s="50"/>
      <c r="D156" s="50"/>
      <c r="E156" s="45"/>
      <c r="F156" s="45"/>
      <c r="G156" s="45"/>
      <c r="H156" s="45"/>
      <c r="I156" s="45"/>
      <c r="J156" s="45"/>
      <c r="K156" s="60"/>
      <c r="L156" s="45"/>
      <c r="M156" s="45"/>
      <c r="N156" s="46"/>
      <c r="O156" s="46"/>
      <c r="P156" s="49"/>
      <c r="Q156" s="52"/>
      <c r="R156" s="52"/>
      <c r="S156" s="52"/>
      <c r="T156" s="30"/>
    </row>
    <row r="157" spans="2:20" ht="14.15" customHeight="1" x14ac:dyDescent="0.6">
      <c r="B157" s="50"/>
      <c r="C157" s="50"/>
      <c r="D157" s="50"/>
      <c r="E157" s="45"/>
      <c r="F157" s="45"/>
      <c r="G157" s="45"/>
      <c r="H157" s="45"/>
      <c r="I157" s="45"/>
      <c r="J157" s="45"/>
      <c r="K157" s="60"/>
      <c r="L157" s="45"/>
      <c r="M157" s="45"/>
      <c r="N157" s="46"/>
      <c r="O157" s="46"/>
      <c r="P157" s="49"/>
      <c r="Q157" s="52"/>
      <c r="R157" s="52"/>
      <c r="S157" s="52"/>
      <c r="T157" s="30"/>
    </row>
    <row r="158" spans="2:20" ht="14.15" customHeight="1" x14ac:dyDescent="0.6">
      <c r="B158" s="50"/>
      <c r="C158" s="50"/>
      <c r="D158" s="50"/>
      <c r="E158" s="45"/>
      <c r="F158" s="45"/>
      <c r="G158" s="45"/>
      <c r="H158" s="45"/>
      <c r="I158" s="45"/>
      <c r="J158" s="45"/>
      <c r="K158" s="60"/>
      <c r="L158" s="45"/>
      <c r="M158" s="45"/>
      <c r="N158" s="46"/>
      <c r="O158" s="46"/>
      <c r="P158" s="49"/>
      <c r="Q158" s="52"/>
      <c r="R158" s="52"/>
      <c r="S158" s="52"/>
      <c r="T158" s="30"/>
    </row>
    <row r="159" spans="2:20" ht="14.15" customHeight="1" x14ac:dyDescent="0.6">
      <c r="B159" s="50"/>
      <c r="C159" s="50"/>
      <c r="D159" s="50"/>
      <c r="E159" s="45"/>
      <c r="F159" s="45"/>
      <c r="G159" s="45"/>
      <c r="H159" s="45"/>
      <c r="I159" s="45"/>
      <c r="J159" s="45"/>
      <c r="K159" s="60"/>
      <c r="L159" s="45"/>
      <c r="M159" s="45"/>
      <c r="N159" s="46"/>
      <c r="O159" s="46"/>
      <c r="P159" s="49"/>
      <c r="Q159" s="52"/>
      <c r="R159" s="52"/>
      <c r="S159" s="52"/>
      <c r="T159" s="30"/>
    </row>
    <row r="160" spans="2:20" ht="14.15" customHeight="1" x14ac:dyDescent="0.6">
      <c r="B160" s="50"/>
      <c r="C160" s="50"/>
      <c r="D160" s="50"/>
      <c r="E160" s="45"/>
      <c r="F160" s="45"/>
      <c r="G160" s="45"/>
      <c r="H160" s="45"/>
      <c r="I160" s="45"/>
      <c r="J160" s="45"/>
      <c r="K160" s="60"/>
      <c r="L160" s="45"/>
      <c r="M160" s="45"/>
      <c r="N160" s="46"/>
      <c r="O160" s="46"/>
      <c r="P160" s="49"/>
      <c r="Q160" s="52"/>
      <c r="R160" s="52"/>
      <c r="S160" s="52"/>
      <c r="T160" s="30"/>
    </row>
    <row r="161" spans="2:20" ht="14.15" customHeight="1" x14ac:dyDescent="0.6">
      <c r="B161" s="50"/>
      <c r="C161" s="50"/>
      <c r="D161" s="50"/>
      <c r="E161" s="45"/>
      <c r="F161" s="45"/>
      <c r="G161" s="45"/>
      <c r="H161" s="45"/>
      <c r="I161" s="45"/>
      <c r="J161" s="45"/>
      <c r="K161" s="60"/>
      <c r="L161" s="45"/>
      <c r="M161" s="45"/>
      <c r="N161" s="46"/>
      <c r="O161" s="46"/>
      <c r="P161" s="49"/>
      <c r="Q161" s="52"/>
      <c r="R161" s="52"/>
      <c r="S161" s="52"/>
      <c r="T161" s="30"/>
    </row>
    <row r="162" spans="2:20" ht="14.15" customHeight="1" x14ac:dyDescent="0.6">
      <c r="B162" s="50"/>
      <c r="C162" s="50"/>
      <c r="D162" s="50"/>
      <c r="E162" s="45"/>
      <c r="F162" s="45"/>
      <c r="G162" s="45"/>
      <c r="H162" s="45"/>
      <c r="I162" s="45"/>
      <c r="J162" s="45"/>
      <c r="K162" s="60"/>
      <c r="L162" s="45"/>
      <c r="M162" s="45"/>
      <c r="N162" s="46"/>
      <c r="O162" s="46"/>
      <c r="P162" s="49"/>
      <c r="Q162" s="52"/>
      <c r="R162" s="52"/>
      <c r="S162" s="52"/>
      <c r="T162" s="30"/>
    </row>
    <row r="163" spans="2:20" ht="14.15" customHeight="1" x14ac:dyDescent="0.6">
      <c r="B163" s="50"/>
      <c r="C163" s="50"/>
      <c r="D163" s="50"/>
      <c r="E163" s="45"/>
      <c r="F163" s="45"/>
      <c r="G163" s="45"/>
      <c r="H163" s="45"/>
      <c r="I163" s="45"/>
      <c r="J163" s="45"/>
      <c r="K163" s="60"/>
      <c r="L163" s="45"/>
      <c r="M163" s="45"/>
      <c r="N163" s="46"/>
      <c r="O163" s="46"/>
      <c r="P163" s="49"/>
      <c r="Q163" s="52"/>
      <c r="R163" s="52"/>
      <c r="S163" s="52"/>
      <c r="T163" s="30"/>
    </row>
    <row r="164" spans="2:20" ht="14.15" customHeight="1" x14ac:dyDescent="0.6">
      <c r="B164" s="50"/>
      <c r="C164" s="50"/>
      <c r="D164" s="50"/>
      <c r="E164" s="45"/>
      <c r="F164" s="45"/>
      <c r="G164" s="45"/>
      <c r="H164" s="45"/>
      <c r="I164" s="45"/>
      <c r="J164" s="45"/>
      <c r="K164" s="60"/>
      <c r="L164" s="45"/>
      <c r="M164" s="45"/>
      <c r="N164" s="46"/>
      <c r="O164" s="46"/>
      <c r="P164" s="49"/>
      <c r="Q164" s="52"/>
      <c r="R164" s="52"/>
      <c r="S164" s="52"/>
      <c r="T164" s="30"/>
    </row>
    <row r="165" spans="2:20" ht="14.15" customHeight="1" x14ac:dyDescent="0.6">
      <c r="B165" s="50"/>
      <c r="C165" s="50"/>
      <c r="D165" s="50"/>
      <c r="E165" s="45"/>
      <c r="F165" s="45"/>
      <c r="G165" s="45"/>
      <c r="H165" s="45"/>
      <c r="I165" s="45"/>
      <c r="J165" s="45"/>
      <c r="K165" s="60"/>
      <c r="L165" s="45"/>
      <c r="M165" s="45"/>
      <c r="N165" s="46"/>
      <c r="O165" s="46"/>
      <c r="P165" s="49"/>
      <c r="Q165" s="52"/>
      <c r="R165" s="52"/>
      <c r="S165" s="52"/>
      <c r="T165" s="30"/>
    </row>
    <row r="166" spans="2:20" ht="14.15" customHeight="1" x14ac:dyDescent="0.6">
      <c r="B166" s="50"/>
      <c r="C166" s="50"/>
      <c r="D166" s="50"/>
      <c r="E166" s="45"/>
      <c r="F166" s="45"/>
      <c r="G166" s="45"/>
      <c r="H166" s="45"/>
      <c r="I166" s="45"/>
      <c r="J166" s="45"/>
      <c r="K166" s="60"/>
      <c r="L166" s="45"/>
      <c r="M166" s="45"/>
      <c r="N166" s="46"/>
      <c r="O166" s="46"/>
      <c r="P166" s="49"/>
      <c r="Q166" s="52"/>
      <c r="R166" s="52"/>
      <c r="S166" s="52"/>
      <c r="T166" s="30"/>
    </row>
    <row r="167" spans="2:20" ht="14.15" customHeight="1" x14ac:dyDescent="0.6">
      <c r="B167" s="50"/>
      <c r="C167" s="50"/>
      <c r="D167" s="50"/>
      <c r="E167" s="45"/>
      <c r="F167" s="45"/>
      <c r="G167" s="45"/>
      <c r="H167" s="45"/>
      <c r="I167" s="45"/>
      <c r="J167" s="45"/>
      <c r="K167" s="60"/>
      <c r="L167" s="45"/>
      <c r="M167" s="45"/>
      <c r="N167" s="46"/>
      <c r="O167" s="46"/>
      <c r="P167" s="49"/>
      <c r="Q167" s="52"/>
      <c r="R167" s="52"/>
      <c r="S167" s="52"/>
      <c r="T167" s="30"/>
    </row>
    <row r="168" spans="2:20" ht="14.15" customHeight="1" x14ac:dyDescent="0.6">
      <c r="B168" s="50"/>
      <c r="C168" s="50"/>
      <c r="D168" s="50"/>
      <c r="E168" s="45"/>
      <c r="F168" s="45"/>
      <c r="G168" s="45"/>
      <c r="H168" s="45"/>
      <c r="I168" s="45"/>
      <c r="J168" s="45"/>
      <c r="K168" s="60"/>
      <c r="L168" s="45"/>
      <c r="M168" s="45"/>
      <c r="N168" s="46"/>
      <c r="O168" s="46"/>
      <c r="P168" s="49"/>
      <c r="Q168" s="52"/>
      <c r="R168" s="52"/>
      <c r="S168" s="52"/>
      <c r="T168" s="30"/>
    </row>
    <row r="169" spans="2:20" ht="14.15" customHeight="1" x14ac:dyDescent="0.6">
      <c r="B169" s="50"/>
      <c r="C169" s="50"/>
      <c r="D169" s="50"/>
      <c r="E169" s="45"/>
      <c r="F169" s="45"/>
      <c r="G169" s="45"/>
      <c r="H169" s="45"/>
      <c r="I169" s="45"/>
      <c r="J169" s="45"/>
      <c r="K169" s="60"/>
      <c r="L169" s="45"/>
      <c r="M169" s="45"/>
      <c r="N169" s="46"/>
      <c r="O169" s="46"/>
      <c r="P169" s="49"/>
      <c r="Q169" s="52"/>
      <c r="R169" s="52"/>
      <c r="S169" s="52"/>
      <c r="T169" s="30"/>
    </row>
    <row r="170" spans="2:20" ht="14.15" customHeight="1" x14ac:dyDescent="0.6">
      <c r="B170" s="50"/>
      <c r="C170" s="50"/>
      <c r="D170" s="50"/>
      <c r="E170" s="45"/>
      <c r="F170" s="45"/>
      <c r="G170" s="45"/>
      <c r="H170" s="45"/>
      <c r="I170" s="45"/>
      <c r="J170" s="45"/>
      <c r="K170" s="60"/>
      <c r="L170" s="45"/>
      <c r="M170" s="45"/>
      <c r="N170" s="46"/>
      <c r="O170" s="46"/>
      <c r="P170" s="49"/>
      <c r="Q170" s="52"/>
      <c r="R170" s="52"/>
      <c r="S170" s="52"/>
      <c r="T170" s="30"/>
    </row>
    <row r="171" spans="2:20" ht="14.15" customHeight="1" x14ac:dyDescent="0.6">
      <c r="B171" s="50"/>
      <c r="C171" s="50"/>
      <c r="D171" s="50"/>
      <c r="E171" s="45"/>
      <c r="F171" s="45"/>
      <c r="G171" s="45"/>
      <c r="H171" s="45"/>
      <c r="I171" s="45"/>
      <c r="J171" s="45"/>
      <c r="K171" s="60"/>
      <c r="L171" s="45"/>
      <c r="M171" s="45"/>
      <c r="N171" s="46"/>
      <c r="O171" s="46"/>
      <c r="P171" s="49"/>
      <c r="Q171" s="52"/>
      <c r="R171" s="52"/>
      <c r="S171" s="52"/>
      <c r="T171" s="30"/>
    </row>
    <row r="172" spans="2:20" ht="14.15" customHeight="1" x14ac:dyDescent="0.6">
      <c r="B172" s="50"/>
      <c r="C172" s="50"/>
      <c r="D172" s="50"/>
      <c r="E172" s="45"/>
      <c r="F172" s="45"/>
      <c r="G172" s="45"/>
      <c r="H172" s="45"/>
      <c r="I172" s="45"/>
      <c r="J172" s="45"/>
      <c r="K172" s="60"/>
      <c r="L172" s="45"/>
      <c r="M172" s="45"/>
      <c r="N172" s="46"/>
      <c r="O172" s="46"/>
      <c r="P172" s="49"/>
      <c r="Q172" s="52"/>
      <c r="R172" s="52"/>
      <c r="S172" s="52"/>
      <c r="T172" s="30"/>
    </row>
    <row r="173" spans="2:20" ht="14.15" customHeight="1" x14ac:dyDescent="0.6">
      <c r="B173" s="50"/>
      <c r="C173" s="50"/>
      <c r="D173" s="50"/>
      <c r="E173" s="45"/>
      <c r="F173" s="45"/>
      <c r="G173" s="45"/>
      <c r="H173" s="45"/>
      <c r="I173" s="45"/>
      <c r="J173" s="45"/>
      <c r="K173" s="60"/>
      <c r="L173" s="45"/>
      <c r="M173" s="45"/>
      <c r="N173" s="46"/>
      <c r="O173" s="46"/>
      <c r="P173" s="49"/>
      <c r="Q173" s="52"/>
      <c r="R173" s="52"/>
      <c r="S173" s="52"/>
      <c r="T173" s="30"/>
    </row>
    <row r="174" spans="2:20" ht="14.15" customHeight="1" x14ac:dyDescent="0.6">
      <c r="B174" s="50"/>
      <c r="C174" s="50"/>
      <c r="D174" s="50"/>
      <c r="E174" s="45"/>
      <c r="F174" s="45"/>
      <c r="G174" s="45"/>
      <c r="H174" s="45"/>
      <c r="I174" s="45"/>
      <c r="J174" s="45"/>
      <c r="K174" s="60"/>
      <c r="L174" s="45"/>
      <c r="M174" s="45"/>
      <c r="N174" s="46"/>
      <c r="O174" s="46"/>
      <c r="P174" s="49"/>
      <c r="Q174" s="52"/>
      <c r="R174" s="52"/>
      <c r="S174" s="52"/>
      <c r="T174" s="30"/>
    </row>
    <row r="175" spans="2:20" ht="14.15" customHeight="1" x14ac:dyDescent="0.6">
      <c r="B175" s="50"/>
      <c r="C175" s="50"/>
      <c r="D175" s="50"/>
      <c r="E175" s="45"/>
      <c r="F175" s="45"/>
      <c r="G175" s="45"/>
      <c r="H175" s="45"/>
      <c r="I175" s="45"/>
      <c r="J175" s="45"/>
      <c r="K175" s="60"/>
      <c r="L175" s="45"/>
      <c r="M175" s="45"/>
      <c r="N175" s="46"/>
      <c r="O175" s="46"/>
      <c r="P175" s="49"/>
      <c r="Q175" s="52"/>
      <c r="R175" s="52"/>
      <c r="S175" s="52"/>
      <c r="T175" s="30"/>
    </row>
    <row r="176" spans="2:20" ht="14.15" customHeight="1" x14ac:dyDescent="0.6">
      <c r="B176" s="50"/>
      <c r="C176" s="50"/>
      <c r="D176" s="50"/>
      <c r="E176" s="45"/>
      <c r="F176" s="45"/>
      <c r="G176" s="45"/>
      <c r="H176" s="45"/>
      <c r="I176" s="45"/>
      <c r="J176" s="45"/>
      <c r="K176" s="60"/>
      <c r="L176" s="45"/>
      <c r="M176" s="45"/>
      <c r="N176" s="46"/>
      <c r="O176" s="46"/>
      <c r="P176" s="49"/>
      <c r="Q176" s="52"/>
      <c r="R176" s="52"/>
      <c r="S176" s="52"/>
      <c r="T176" s="30"/>
    </row>
    <row r="177" spans="2:20" ht="14.15" customHeight="1" x14ac:dyDescent="0.6">
      <c r="B177" s="50"/>
      <c r="C177" s="50"/>
      <c r="D177" s="50"/>
      <c r="E177" s="45"/>
      <c r="F177" s="45"/>
      <c r="G177" s="45"/>
      <c r="H177" s="45"/>
      <c r="I177" s="45"/>
      <c r="J177" s="45"/>
      <c r="K177" s="60"/>
      <c r="L177" s="45"/>
      <c r="M177" s="45"/>
      <c r="N177" s="46"/>
      <c r="O177" s="46"/>
      <c r="P177" s="49"/>
      <c r="Q177" s="52"/>
      <c r="R177" s="52"/>
      <c r="S177" s="52"/>
      <c r="T177" s="30"/>
    </row>
    <row r="178" spans="2:20" ht="14.15" customHeight="1" x14ac:dyDescent="0.6">
      <c r="B178" s="50"/>
      <c r="C178" s="50"/>
      <c r="D178" s="50"/>
      <c r="E178" s="45"/>
      <c r="F178" s="45"/>
      <c r="G178" s="45"/>
      <c r="H178" s="45"/>
      <c r="I178" s="45"/>
      <c r="J178" s="45"/>
      <c r="K178" s="60"/>
      <c r="L178" s="45"/>
      <c r="M178" s="45"/>
      <c r="N178" s="46"/>
      <c r="O178" s="46"/>
      <c r="P178" s="49"/>
      <c r="Q178" s="52"/>
      <c r="R178" s="52"/>
      <c r="S178" s="52"/>
      <c r="T178" s="30"/>
    </row>
    <row r="179" spans="2:20" ht="14.15" customHeight="1" x14ac:dyDescent="0.6">
      <c r="B179" s="50"/>
      <c r="C179" s="50"/>
      <c r="D179" s="50"/>
      <c r="E179" s="45"/>
      <c r="F179" s="45"/>
      <c r="G179" s="45"/>
      <c r="H179" s="45"/>
      <c r="I179" s="45"/>
      <c r="J179" s="45"/>
      <c r="K179" s="60"/>
      <c r="L179" s="45"/>
      <c r="M179" s="45"/>
      <c r="N179" s="46"/>
      <c r="O179" s="46"/>
      <c r="P179" s="49"/>
      <c r="Q179" s="52"/>
      <c r="R179" s="52"/>
      <c r="S179" s="52"/>
      <c r="T179" s="30"/>
    </row>
    <row r="180" spans="2:20" ht="14.15" customHeight="1" x14ac:dyDescent="0.6">
      <c r="B180" s="50"/>
      <c r="C180" s="50"/>
      <c r="D180" s="50"/>
      <c r="E180" s="45"/>
      <c r="F180" s="45"/>
      <c r="G180" s="45"/>
      <c r="H180" s="45"/>
      <c r="I180" s="45"/>
      <c r="J180" s="45"/>
      <c r="K180" s="60"/>
      <c r="L180" s="45"/>
      <c r="M180" s="45"/>
      <c r="N180" s="46"/>
      <c r="O180" s="46"/>
      <c r="P180" s="49"/>
      <c r="Q180" s="52"/>
      <c r="R180" s="52"/>
      <c r="S180" s="52"/>
      <c r="T180" s="30"/>
    </row>
    <row r="181" spans="2:20" ht="14.15" customHeight="1" x14ac:dyDescent="0.6">
      <c r="B181" s="50"/>
      <c r="C181" s="50"/>
      <c r="D181" s="50"/>
      <c r="E181" s="45"/>
      <c r="F181" s="45"/>
      <c r="G181" s="45"/>
      <c r="H181" s="45"/>
      <c r="I181" s="45"/>
      <c r="J181" s="45"/>
      <c r="K181" s="60"/>
      <c r="L181" s="45"/>
      <c r="M181" s="45"/>
      <c r="N181" s="46"/>
      <c r="O181" s="46"/>
      <c r="P181" s="49"/>
      <c r="Q181" s="52"/>
      <c r="R181" s="52"/>
      <c r="S181" s="52"/>
      <c r="T181" s="30"/>
    </row>
    <row r="182" spans="2:20" ht="14.15" customHeight="1" x14ac:dyDescent="0.6">
      <c r="B182" s="50"/>
      <c r="C182" s="50"/>
      <c r="D182" s="50"/>
      <c r="E182" s="45"/>
      <c r="F182" s="45"/>
      <c r="G182" s="45"/>
      <c r="H182" s="45"/>
      <c r="I182" s="45"/>
      <c r="J182" s="45"/>
      <c r="K182" s="60"/>
      <c r="L182" s="45"/>
      <c r="M182" s="45"/>
      <c r="N182" s="46"/>
      <c r="O182" s="46"/>
      <c r="P182" s="49"/>
      <c r="Q182" s="52"/>
      <c r="R182" s="52"/>
      <c r="S182" s="52"/>
      <c r="T182" s="30"/>
    </row>
    <row r="183" spans="2:20" ht="14.15" customHeight="1" x14ac:dyDescent="0.6">
      <c r="B183" s="50"/>
      <c r="C183" s="50"/>
      <c r="D183" s="50"/>
      <c r="E183" s="45"/>
      <c r="F183" s="45"/>
      <c r="G183" s="45"/>
      <c r="H183" s="45"/>
      <c r="I183" s="45"/>
      <c r="J183" s="45"/>
      <c r="K183" s="60"/>
      <c r="L183" s="45"/>
      <c r="M183" s="45"/>
      <c r="N183" s="46"/>
      <c r="O183" s="46"/>
      <c r="P183" s="49"/>
      <c r="Q183" s="52"/>
      <c r="R183" s="52"/>
      <c r="S183" s="52"/>
      <c r="T183" s="30"/>
    </row>
    <row r="184" spans="2:20" ht="14.15" customHeight="1" x14ac:dyDescent="0.6">
      <c r="B184" s="50"/>
      <c r="C184" s="50"/>
      <c r="D184" s="50"/>
      <c r="E184" s="45"/>
      <c r="F184" s="45"/>
      <c r="G184" s="45"/>
      <c r="H184" s="45"/>
      <c r="I184" s="45"/>
      <c r="J184" s="45"/>
      <c r="K184" s="60"/>
      <c r="L184" s="45"/>
      <c r="M184" s="45"/>
      <c r="N184" s="46"/>
      <c r="O184" s="46"/>
      <c r="P184" s="49"/>
      <c r="Q184" s="52"/>
      <c r="R184" s="52"/>
      <c r="S184" s="52"/>
      <c r="T184" s="30"/>
    </row>
    <row r="185" spans="2:20" ht="14.15" customHeight="1" x14ac:dyDescent="0.6">
      <c r="B185" s="50"/>
      <c r="C185" s="50"/>
      <c r="D185" s="50"/>
      <c r="E185" s="45"/>
      <c r="F185" s="45"/>
      <c r="G185" s="45"/>
      <c r="H185" s="45"/>
      <c r="I185" s="45"/>
      <c r="J185" s="45"/>
      <c r="K185" s="60"/>
      <c r="L185" s="45"/>
      <c r="M185" s="45"/>
      <c r="N185" s="46"/>
      <c r="O185" s="46"/>
      <c r="P185" s="49"/>
      <c r="Q185" s="52"/>
      <c r="R185" s="52"/>
      <c r="S185" s="52"/>
      <c r="T185" s="30"/>
    </row>
    <row r="186" spans="2:20" ht="14.15" customHeight="1" x14ac:dyDescent="0.6">
      <c r="B186" s="50"/>
      <c r="C186" s="50"/>
      <c r="D186" s="50"/>
      <c r="E186" s="45"/>
      <c r="F186" s="45"/>
      <c r="G186" s="45"/>
      <c r="H186" s="45"/>
      <c r="I186" s="45"/>
      <c r="J186" s="45"/>
      <c r="K186" s="60"/>
      <c r="L186" s="45"/>
      <c r="M186" s="45"/>
      <c r="N186" s="46"/>
      <c r="O186" s="46"/>
      <c r="P186" s="49"/>
      <c r="Q186" s="52"/>
      <c r="R186" s="52"/>
      <c r="S186" s="52"/>
      <c r="T186" s="30"/>
    </row>
    <row r="187" spans="2:20" ht="14.15" customHeight="1" x14ac:dyDescent="0.6">
      <c r="B187" s="50"/>
      <c r="C187" s="50"/>
      <c r="D187" s="50"/>
      <c r="E187" s="45"/>
      <c r="F187" s="45"/>
      <c r="G187" s="45"/>
      <c r="H187" s="45"/>
      <c r="I187" s="45"/>
      <c r="J187" s="45"/>
      <c r="K187" s="60"/>
      <c r="L187" s="45"/>
      <c r="M187" s="45"/>
      <c r="N187" s="46"/>
      <c r="O187" s="46"/>
      <c r="P187" s="49"/>
      <c r="Q187" s="52"/>
      <c r="R187" s="52"/>
      <c r="S187" s="52"/>
      <c r="T187" s="30"/>
    </row>
    <row r="188" spans="2:20" ht="14.15" customHeight="1" x14ac:dyDescent="0.6">
      <c r="B188" s="50"/>
      <c r="C188" s="50"/>
      <c r="D188" s="50"/>
      <c r="E188" s="45"/>
      <c r="F188" s="45"/>
      <c r="G188" s="45"/>
      <c r="H188" s="45"/>
      <c r="I188" s="45"/>
      <c r="J188" s="45"/>
      <c r="K188" s="60"/>
      <c r="L188" s="45"/>
      <c r="M188" s="45"/>
      <c r="N188" s="46"/>
      <c r="O188" s="46"/>
      <c r="P188" s="49"/>
      <c r="Q188" s="52"/>
      <c r="R188" s="52"/>
      <c r="S188" s="52"/>
      <c r="T188" s="30"/>
    </row>
    <row r="189" spans="2:20" ht="14.15" customHeight="1" x14ac:dyDescent="0.6">
      <c r="B189" s="50"/>
      <c r="C189" s="50"/>
      <c r="D189" s="50"/>
      <c r="E189" s="45"/>
      <c r="F189" s="45"/>
      <c r="G189" s="45"/>
      <c r="H189" s="45"/>
      <c r="I189" s="45"/>
      <c r="J189" s="45"/>
      <c r="K189" s="60"/>
      <c r="L189" s="45"/>
      <c r="M189" s="45"/>
      <c r="N189" s="46"/>
      <c r="O189" s="46"/>
      <c r="P189" s="49"/>
      <c r="Q189" s="52"/>
      <c r="R189" s="52"/>
      <c r="S189" s="52"/>
      <c r="T189" s="30"/>
    </row>
    <row r="190" spans="2:20" ht="14.15" customHeight="1" x14ac:dyDescent="0.6">
      <c r="B190" s="50"/>
      <c r="C190" s="50"/>
      <c r="D190" s="50"/>
      <c r="E190" s="45"/>
      <c r="F190" s="45"/>
      <c r="G190" s="45"/>
      <c r="H190" s="45"/>
      <c r="I190" s="45"/>
      <c r="J190" s="45"/>
      <c r="K190" s="60"/>
      <c r="L190" s="45"/>
      <c r="M190" s="45"/>
      <c r="N190" s="46"/>
      <c r="O190" s="46"/>
      <c r="P190" s="49"/>
      <c r="Q190" s="52"/>
      <c r="R190" s="52"/>
      <c r="S190" s="52"/>
      <c r="T190" s="30"/>
    </row>
    <row r="191" spans="2:20" ht="14.15" customHeight="1" x14ac:dyDescent="0.6">
      <c r="B191" s="50"/>
      <c r="C191" s="50"/>
      <c r="D191" s="50"/>
      <c r="E191" s="45"/>
      <c r="F191" s="45"/>
      <c r="G191" s="45"/>
      <c r="H191" s="45"/>
      <c r="I191" s="45"/>
      <c r="J191" s="45"/>
      <c r="K191" s="60"/>
      <c r="L191" s="45"/>
      <c r="M191" s="45"/>
      <c r="N191" s="46"/>
      <c r="O191" s="46"/>
      <c r="P191" s="49"/>
      <c r="Q191" s="52"/>
      <c r="R191" s="52"/>
      <c r="S191" s="52"/>
      <c r="T191" s="30"/>
    </row>
    <row r="192" spans="2:20" ht="14.15" customHeight="1" x14ac:dyDescent="0.6">
      <c r="B192" s="50"/>
      <c r="C192" s="50"/>
      <c r="D192" s="50"/>
      <c r="E192" s="45"/>
      <c r="F192" s="45"/>
      <c r="G192" s="45"/>
      <c r="H192" s="45"/>
      <c r="I192" s="45"/>
      <c r="J192" s="45"/>
      <c r="K192" s="60"/>
      <c r="L192" s="45"/>
      <c r="M192" s="45"/>
      <c r="N192" s="46"/>
      <c r="O192" s="46"/>
      <c r="P192" s="49"/>
      <c r="Q192" s="52"/>
      <c r="R192" s="52"/>
      <c r="S192" s="52"/>
      <c r="T192" s="30"/>
    </row>
    <row r="193" spans="2:20" ht="14.15" customHeight="1" x14ac:dyDescent="0.6">
      <c r="B193" s="50"/>
      <c r="C193" s="50"/>
      <c r="D193" s="50"/>
      <c r="E193" s="45"/>
      <c r="F193" s="45"/>
      <c r="G193" s="45"/>
      <c r="H193" s="45"/>
      <c r="I193" s="45"/>
      <c r="J193" s="45"/>
      <c r="K193" s="60"/>
      <c r="L193" s="45"/>
      <c r="M193" s="45"/>
      <c r="N193" s="46"/>
      <c r="O193" s="46"/>
      <c r="P193" s="49"/>
      <c r="Q193" s="52"/>
      <c r="R193" s="52"/>
      <c r="S193" s="52"/>
      <c r="T193" s="30"/>
    </row>
    <row r="194" spans="2:20" ht="14.15" customHeight="1" x14ac:dyDescent="0.6">
      <c r="B194" s="50"/>
      <c r="C194" s="50"/>
      <c r="D194" s="50"/>
      <c r="E194" s="45"/>
      <c r="F194" s="45"/>
      <c r="G194" s="45"/>
      <c r="H194" s="45"/>
      <c r="I194" s="45"/>
      <c r="J194" s="45"/>
      <c r="K194" s="60"/>
      <c r="L194" s="45"/>
      <c r="M194" s="45"/>
      <c r="N194" s="46"/>
      <c r="O194" s="46"/>
      <c r="P194" s="49"/>
      <c r="Q194" s="52"/>
      <c r="R194" s="52"/>
      <c r="S194" s="52"/>
      <c r="T194" s="30"/>
    </row>
    <row r="195" spans="2:20" ht="14.15" customHeight="1" x14ac:dyDescent="0.6">
      <c r="B195" s="50"/>
      <c r="C195" s="50"/>
      <c r="D195" s="50"/>
      <c r="E195" s="45"/>
      <c r="F195" s="45"/>
      <c r="G195" s="45"/>
      <c r="H195" s="45"/>
      <c r="I195" s="45"/>
      <c r="J195" s="45"/>
      <c r="K195" s="60"/>
      <c r="L195" s="45"/>
      <c r="M195" s="45"/>
      <c r="N195" s="46"/>
      <c r="O195" s="46"/>
      <c r="P195" s="49"/>
      <c r="Q195" s="52"/>
      <c r="R195" s="52"/>
      <c r="S195" s="52"/>
      <c r="T195" s="30"/>
    </row>
    <row r="196" spans="2:20" ht="14.15" customHeight="1" x14ac:dyDescent="0.6">
      <c r="B196" s="50"/>
      <c r="C196" s="50"/>
      <c r="D196" s="50"/>
      <c r="E196" s="45"/>
      <c r="F196" s="45"/>
      <c r="G196" s="45"/>
      <c r="H196" s="45"/>
      <c r="I196" s="45"/>
      <c r="J196" s="45"/>
      <c r="K196" s="60"/>
      <c r="L196" s="45"/>
      <c r="M196" s="45"/>
      <c r="N196" s="46"/>
      <c r="O196" s="46"/>
      <c r="P196" s="49"/>
      <c r="Q196" s="52"/>
      <c r="R196" s="52"/>
      <c r="S196" s="52"/>
      <c r="T196" s="30"/>
    </row>
    <row r="197" spans="2:20" ht="14.15" customHeight="1" x14ac:dyDescent="0.6">
      <c r="B197" s="50"/>
      <c r="C197" s="50"/>
      <c r="D197" s="50"/>
      <c r="E197" s="45"/>
      <c r="F197" s="45"/>
      <c r="G197" s="45"/>
      <c r="H197" s="45"/>
      <c r="I197" s="45"/>
      <c r="J197" s="45"/>
      <c r="K197" s="60"/>
      <c r="L197" s="45"/>
      <c r="M197" s="45"/>
      <c r="N197" s="46"/>
      <c r="O197" s="46"/>
      <c r="P197" s="49"/>
      <c r="Q197" s="52"/>
      <c r="R197" s="52"/>
      <c r="S197" s="52"/>
      <c r="T197" s="30"/>
    </row>
    <row r="198" spans="2:20" ht="14.15" customHeight="1" x14ac:dyDescent="0.6">
      <c r="B198" s="50"/>
      <c r="C198" s="50"/>
      <c r="D198" s="50"/>
      <c r="E198" s="45"/>
      <c r="F198" s="45"/>
      <c r="G198" s="45"/>
      <c r="H198" s="45"/>
      <c r="I198" s="45"/>
      <c r="J198" s="45"/>
      <c r="K198" s="60"/>
      <c r="L198" s="45"/>
      <c r="M198" s="45"/>
      <c r="N198" s="46"/>
      <c r="O198" s="46"/>
      <c r="P198" s="49"/>
      <c r="Q198" s="52"/>
      <c r="R198" s="52"/>
      <c r="S198" s="52"/>
      <c r="T198" s="30"/>
    </row>
    <row r="199" spans="2:20" ht="14.15" customHeight="1" x14ac:dyDescent="0.6">
      <c r="B199" s="50"/>
      <c r="C199" s="50"/>
      <c r="D199" s="50"/>
      <c r="E199" s="45"/>
      <c r="F199" s="45"/>
      <c r="G199" s="45"/>
      <c r="H199" s="45"/>
      <c r="I199" s="45"/>
      <c r="J199" s="45"/>
      <c r="K199" s="60"/>
      <c r="L199" s="45"/>
      <c r="M199" s="45"/>
      <c r="N199" s="46"/>
      <c r="O199" s="46"/>
      <c r="P199" s="49"/>
      <c r="Q199" s="52"/>
      <c r="R199" s="52"/>
      <c r="S199" s="52"/>
      <c r="T199" s="30"/>
    </row>
    <row r="200" spans="2:20" ht="14.15" customHeight="1" x14ac:dyDescent="0.6">
      <c r="B200" s="50"/>
      <c r="C200" s="50"/>
      <c r="D200" s="50"/>
      <c r="E200" s="45"/>
      <c r="F200" s="45"/>
      <c r="G200" s="45"/>
      <c r="H200" s="45"/>
      <c r="I200" s="45"/>
      <c r="J200" s="45"/>
      <c r="K200" s="60"/>
      <c r="L200" s="45"/>
      <c r="M200" s="45"/>
      <c r="N200" s="46"/>
      <c r="O200" s="46"/>
      <c r="P200" s="49"/>
      <c r="Q200" s="52"/>
      <c r="R200" s="52"/>
      <c r="S200" s="52"/>
      <c r="T200" s="30"/>
    </row>
    <row r="201" spans="2:20" ht="14.15" customHeight="1" x14ac:dyDescent="0.6">
      <c r="B201" s="50"/>
      <c r="C201" s="50"/>
      <c r="D201" s="50"/>
      <c r="E201" s="45"/>
      <c r="F201" s="45"/>
      <c r="G201" s="45"/>
      <c r="H201" s="45"/>
      <c r="I201" s="45"/>
      <c r="J201" s="45"/>
      <c r="K201" s="60"/>
      <c r="L201" s="45"/>
      <c r="M201" s="45"/>
      <c r="N201" s="46"/>
      <c r="O201" s="46"/>
      <c r="P201" s="49"/>
      <c r="Q201" s="52"/>
      <c r="R201" s="52"/>
      <c r="S201" s="52"/>
      <c r="T201" s="30"/>
    </row>
    <row r="202" spans="2:20" ht="14.15" customHeight="1" x14ac:dyDescent="0.6">
      <c r="B202" s="50"/>
      <c r="C202" s="50"/>
      <c r="D202" s="50"/>
      <c r="E202" s="45"/>
      <c r="F202" s="45"/>
      <c r="G202" s="45"/>
      <c r="H202" s="45"/>
      <c r="I202" s="45"/>
      <c r="J202" s="45"/>
      <c r="K202" s="60"/>
      <c r="L202" s="45"/>
      <c r="M202" s="45"/>
      <c r="N202" s="46"/>
      <c r="O202" s="46"/>
      <c r="P202" s="49"/>
      <c r="Q202" s="52"/>
      <c r="R202" s="52"/>
      <c r="S202" s="52"/>
      <c r="T202" s="30"/>
    </row>
    <row r="203" spans="2:20" ht="14.15" customHeight="1" x14ac:dyDescent="0.6">
      <c r="B203" s="50"/>
      <c r="C203" s="50"/>
      <c r="D203" s="50"/>
      <c r="E203" s="45"/>
      <c r="F203" s="45"/>
      <c r="G203" s="45"/>
      <c r="H203" s="45"/>
      <c r="I203" s="45"/>
      <c r="J203" s="45"/>
      <c r="K203" s="60"/>
      <c r="L203" s="45"/>
      <c r="M203" s="45"/>
      <c r="N203" s="46"/>
      <c r="O203" s="46"/>
      <c r="P203" s="49"/>
      <c r="Q203" s="52"/>
      <c r="R203" s="52"/>
      <c r="S203" s="52"/>
      <c r="T203" s="30"/>
    </row>
    <row r="204" spans="2:20" ht="14.15" customHeight="1" x14ac:dyDescent="0.6">
      <c r="B204" s="50"/>
      <c r="C204" s="50"/>
      <c r="D204" s="50"/>
      <c r="E204" s="45"/>
      <c r="F204" s="45"/>
      <c r="G204" s="45"/>
      <c r="H204" s="45"/>
      <c r="I204" s="45"/>
      <c r="J204" s="45"/>
      <c r="K204" s="60"/>
      <c r="L204" s="45"/>
      <c r="M204" s="45"/>
      <c r="N204" s="46"/>
      <c r="O204" s="46"/>
      <c r="P204" s="49"/>
      <c r="Q204" s="52"/>
      <c r="R204" s="52"/>
      <c r="S204" s="52"/>
      <c r="T204" s="30"/>
    </row>
    <row r="205" spans="2:20" ht="14.15" customHeight="1" x14ac:dyDescent="0.6">
      <c r="B205" s="50"/>
      <c r="C205" s="50"/>
      <c r="D205" s="50"/>
      <c r="E205" s="45"/>
      <c r="F205" s="45"/>
      <c r="G205" s="45"/>
      <c r="H205" s="45"/>
      <c r="I205" s="45"/>
      <c r="J205" s="45"/>
      <c r="K205" s="60"/>
      <c r="L205" s="45"/>
      <c r="M205" s="45"/>
      <c r="N205" s="46"/>
      <c r="O205" s="46"/>
      <c r="P205" s="49"/>
      <c r="Q205" s="52"/>
      <c r="R205" s="52"/>
      <c r="S205" s="52"/>
      <c r="T205" s="30"/>
    </row>
    <row r="206" spans="2:20" ht="14.15" customHeight="1" x14ac:dyDescent="0.6">
      <c r="B206" s="50"/>
      <c r="C206" s="50"/>
      <c r="D206" s="50"/>
      <c r="E206" s="45"/>
      <c r="F206" s="45"/>
      <c r="G206" s="45"/>
      <c r="H206" s="45"/>
      <c r="I206" s="45"/>
      <c r="J206" s="45"/>
      <c r="K206" s="60"/>
      <c r="L206" s="45"/>
      <c r="M206" s="45"/>
      <c r="N206" s="46"/>
      <c r="O206" s="46"/>
      <c r="P206" s="49"/>
      <c r="Q206" s="52"/>
      <c r="R206" s="52"/>
      <c r="S206" s="52"/>
      <c r="T206" s="30"/>
    </row>
    <row r="207" spans="2:20" ht="14.15" customHeight="1" x14ac:dyDescent="0.6">
      <c r="B207" s="50"/>
      <c r="C207" s="50"/>
      <c r="D207" s="50"/>
      <c r="E207" s="45"/>
      <c r="F207" s="45"/>
      <c r="G207" s="45"/>
      <c r="H207" s="45"/>
      <c r="I207" s="45"/>
      <c r="J207" s="45"/>
      <c r="K207" s="60"/>
      <c r="L207" s="45"/>
      <c r="M207" s="45"/>
      <c r="N207" s="46"/>
      <c r="O207" s="46"/>
      <c r="P207" s="49"/>
      <c r="Q207" s="52"/>
      <c r="R207" s="52"/>
      <c r="S207" s="52"/>
      <c r="T207" s="30"/>
    </row>
    <row r="208" spans="2:20" ht="14.15" customHeight="1" x14ac:dyDescent="0.6">
      <c r="B208" s="50"/>
      <c r="C208" s="50"/>
      <c r="D208" s="50"/>
      <c r="E208" s="45"/>
      <c r="F208" s="45"/>
      <c r="G208" s="45"/>
      <c r="H208" s="45"/>
      <c r="I208" s="45"/>
      <c r="J208" s="45"/>
      <c r="K208" s="60"/>
      <c r="L208" s="45"/>
      <c r="M208" s="45"/>
      <c r="N208" s="46"/>
      <c r="O208" s="46"/>
      <c r="P208" s="49"/>
      <c r="Q208" s="52"/>
      <c r="R208" s="52"/>
      <c r="S208" s="52"/>
      <c r="T208" s="30"/>
    </row>
    <row r="209" spans="2:20" ht="14.15" customHeight="1" x14ac:dyDescent="0.6">
      <c r="B209" s="50"/>
      <c r="C209" s="50"/>
      <c r="D209" s="50"/>
      <c r="E209" s="45"/>
      <c r="F209" s="45"/>
      <c r="G209" s="45"/>
      <c r="H209" s="45"/>
      <c r="I209" s="45"/>
      <c r="J209" s="45"/>
      <c r="K209" s="60"/>
      <c r="L209" s="45"/>
      <c r="M209" s="45"/>
      <c r="N209" s="46"/>
      <c r="O209" s="46"/>
      <c r="P209" s="49"/>
      <c r="Q209" s="52"/>
      <c r="R209" s="52"/>
      <c r="S209" s="52"/>
      <c r="T209" s="30"/>
    </row>
    <row r="210" spans="2:20" ht="14.15" customHeight="1" x14ac:dyDescent="0.6">
      <c r="B210" s="50"/>
      <c r="C210" s="50"/>
      <c r="D210" s="50"/>
      <c r="E210" s="45"/>
      <c r="F210" s="45"/>
      <c r="G210" s="45"/>
      <c r="H210" s="45"/>
      <c r="I210" s="45"/>
      <c r="J210" s="45"/>
      <c r="K210" s="60"/>
      <c r="L210" s="45"/>
      <c r="M210" s="45"/>
      <c r="N210" s="46"/>
      <c r="O210" s="46"/>
      <c r="P210" s="49"/>
      <c r="Q210" s="52"/>
      <c r="R210" s="52"/>
      <c r="S210" s="52"/>
      <c r="T210" s="30"/>
    </row>
    <row r="211" spans="2:20" ht="14.15" customHeight="1" x14ac:dyDescent="0.6">
      <c r="B211" s="50"/>
      <c r="C211" s="50"/>
      <c r="D211" s="50"/>
      <c r="E211" s="45"/>
      <c r="F211" s="45"/>
      <c r="G211" s="45"/>
      <c r="H211" s="45"/>
      <c r="I211" s="45"/>
      <c r="J211" s="45"/>
      <c r="K211" s="60"/>
      <c r="L211" s="45"/>
      <c r="M211" s="45"/>
      <c r="N211" s="46"/>
      <c r="O211" s="46"/>
      <c r="P211" s="49"/>
      <c r="Q211" s="52"/>
      <c r="R211" s="52"/>
      <c r="S211" s="52"/>
      <c r="T211" s="30"/>
    </row>
    <row r="212" spans="2:20" ht="14.15" customHeight="1" x14ac:dyDescent="0.6">
      <c r="B212" s="50"/>
      <c r="C212" s="50"/>
      <c r="D212" s="50"/>
      <c r="E212" s="45"/>
      <c r="F212" s="45"/>
      <c r="G212" s="45"/>
      <c r="H212" s="45"/>
      <c r="I212" s="45"/>
      <c r="J212" s="45"/>
      <c r="K212" s="60"/>
      <c r="L212" s="45"/>
      <c r="M212" s="45"/>
      <c r="N212" s="46"/>
      <c r="O212" s="46"/>
      <c r="P212" s="49"/>
      <c r="Q212" s="52"/>
      <c r="R212" s="52"/>
      <c r="S212" s="52"/>
      <c r="T212" s="30"/>
    </row>
    <row r="213" spans="2:20" ht="14.15" customHeight="1" x14ac:dyDescent="0.6">
      <c r="B213" s="50"/>
      <c r="C213" s="50"/>
      <c r="D213" s="50"/>
      <c r="E213" s="45"/>
      <c r="F213" s="45"/>
      <c r="G213" s="45"/>
      <c r="H213" s="45"/>
      <c r="I213" s="45"/>
      <c r="J213" s="45"/>
      <c r="K213" s="60"/>
      <c r="L213" s="45"/>
      <c r="M213" s="45"/>
      <c r="N213" s="46"/>
      <c r="O213" s="46"/>
      <c r="P213" s="49"/>
      <c r="Q213" s="52"/>
      <c r="R213" s="52"/>
      <c r="S213" s="52"/>
      <c r="T213" s="30"/>
    </row>
    <row r="214" spans="2:20" ht="14.15" customHeight="1" x14ac:dyDescent="0.6">
      <c r="B214" s="50"/>
      <c r="C214" s="50"/>
      <c r="D214" s="50"/>
      <c r="E214" s="45"/>
      <c r="F214" s="45"/>
      <c r="G214" s="45"/>
      <c r="H214" s="45"/>
      <c r="I214" s="45"/>
      <c r="J214" s="45"/>
      <c r="K214" s="60"/>
      <c r="L214" s="45"/>
      <c r="M214" s="45"/>
      <c r="N214" s="46"/>
      <c r="O214" s="46"/>
      <c r="P214" s="49"/>
      <c r="Q214" s="52"/>
      <c r="R214" s="52"/>
      <c r="S214" s="52"/>
      <c r="T214" s="30"/>
    </row>
    <row r="215" spans="2:20" ht="14.15" customHeight="1" x14ac:dyDescent="0.6">
      <c r="B215" s="50"/>
      <c r="C215" s="50"/>
      <c r="D215" s="50"/>
      <c r="E215" s="45"/>
      <c r="F215" s="45"/>
      <c r="G215" s="45"/>
      <c r="H215" s="45"/>
      <c r="I215" s="45"/>
      <c r="J215" s="45"/>
      <c r="K215" s="60"/>
      <c r="L215" s="45"/>
      <c r="M215" s="45"/>
      <c r="N215" s="46"/>
      <c r="O215" s="46"/>
      <c r="P215" s="49"/>
      <c r="Q215" s="52"/>
      <c r="R215" s="52"/>
      <c r="S215" s="52"/>
      <c r="T215" s="30"/>
    </row>
    <row r="216" spans="2:20" ht="14.15" customHeight="1" x14ac:dyDescent="0.6">
      <c r="B216" s="50"/>
      <c r="C216" s="50"/>
      <c r="D216" s="50"/>
      <c r="E216" s="45"/>
      <c r="F216" s="45"/>
      <c r="G216" s="45"/>
      <c r="H216" s="45"/>
      <c r="I216" s="45"/>
      <c r="J216" s="45"/>
      <c r="K216" s="60"/>
      <c r="L216" s="45"/>
      <c r="M216" s="45"/>
      <c r="N216" s="46"/>
      <c r="O216" s="46"/>
      <c r="P216" s="49"/>
      <c r="Q216" s="52"/>
      <c r="R216" s="52"/>
      <c r="S216" s="52"/>
      <c r="T216" s="30"/>
    </row>
    <row r="217" spans="2:20" ht="14.15" customHeight="1" x14ac:dyDescent="0.6">
      <c r="B217" s="50"/>
      <c r="C217" s="50"/>
      <c r="D217" s="50"/>
      <c r="E217" s="45"/>
      <c r="F217" s="45"/>
      <c r="G217" s="45"/>
      <c r="H217" s="45"/>
      <c r="I217" s="45"/>
      <c r="J217" s="45"/>
      <c r="K217" s="60"/>
      <c r="L217" s="45"/>
      <c r="M217" s="45"/>
      <c r="N217" s="46"/>
      <c r="O217" s="46"/>
      <c r="P217" s="49"/>
      <c r="Q217" s="52"/>
      <c r="R217" s="52"/>
      <c r="S217" s="52"/>
      <c r="T217" s="30"/>
    </row>
    <row r="218" spans="2:20" ht="14.15" customHeight="1" x14ac:dyDescent="0.6">
      <c r="B218" s="50"/>
      <c r="C218" s="50"/>
      <c r="D218" s="50"/>
      <c r="E218" s="45"/>
      <c r="F218" s="45"/>
      <c r="G218" s="45"/>
      <c r="H218" s="45"/>
      <c r="I218" s="45"/>
      <c r="J218" s="45"/>
      <c r="K218" s="60"/>
      <c r="L218" s="45"/>
      <c r="M218" s="45"/>
      <c r="N218" s="46"/>
      <c r="O218" s="46"/>
      <c r="P218" s="49"/>
      <c r="Q218" s="52"/>
      <c r="R218" s="52"/>
      <c r="S218" s="52"/>
      <c r="T218" s="30"/>
    </row>
    <row r="219" spans="2:20" ht="14.15" customHeight="1" x14ac:dyDescent="0.6">
      <c r="B219" s="50"/>
      <c r="C219" s="50"/>
      <c r="D219" s="50"/>
      <c r="E219" s="45"/>
      <c r="F219" s="45"/>
      <c r="G219" s="45"/>
      <c r="H219" s="45"/>
      <c r="I219" s="45"/>
      <c r="J219" s="45"/>
      <c r="K219" s="60"/>
      <c r="L219" s="45"/>
      <c r="M219" s="45"/>
      <c r="N219" s="46"/>
      <c r="O219" s="46"/>
      <c r="P219" s="49"/>
      <c r="Q219" s="52"/>
      <c r="R219" s="52"/>
      <c r="S219" s="52"/>
      <c r="T219" s="30"/>
    </row>
    <row r="220" spans="2:20" ht="14.15" customHeight="1" x14ac:dyDescent="0.6">
      <c r="B220" s="50"/>
      <c r="C220" s="50"/>
      <c r="D220" s="50"/>
      <c r="E220" s="45"/>
      <c r="F220" s="45"/>
      <c r="G220" s="45"/>
      <c r="H220" s="45"/>
      <c r="I220" s="45"/>
      <c r="J220" s="45"/>
      <c r="K220" s="60"/>
      <c r="L220" s="45"/>
      <c r="M220" s="45"/>
      <c r="N220" s="46"/>
      <c r="O220" s="46"/>
      <c r="P220" s="49"/>
      <c r="Q220" s="52"/>
      <c r="R220" s="52"/>
      <c r="S220" s="52"/>
      <c r="T220" s="30"/>
    </row>
    <row r="221" spans="2:20" ht="14.15" customHeight="1" x14ac:dyDescent="0.6">
      <c r="B221" s="50"/>
      <c r="C221" s="50"/>
      <c r="D221" s="50"/>
      <c r="E221" s="45"/>
      <c r="F221" s="45"/>
      <c r="G221" s="45"/>
      <c r="H221" s="45"/>
      <c r="I221" s="45"/>
      <c r="J221" s="45"/>
      <c r="K221" s="60"/>
      <c r="L221" s="45"/>
      <c r="M221" s="45"/>
      <c r="N221" s="46"/>
      <c r="O221" s="46"/>
      <c r="P221" s="49"/>
      <c r="Q221" s="52"/>
      <c r="R221" s="52"/>
      <c r="S221" s="52"/>
      <c r="T221" s="30"/>
    </row>
    <row r="222" spans="2:20" ht="14.15" customHeight="1" x14ac:dyDescent="0.6">
      <c r="B222" s="50"/>
      <c r="C222" s="50"/>
      <c r="D222" s="50"/>
      <c r="E222" s="45"/>
      <c r="F222" s="45"/>
      <c r="G222" s="45"/>
      <c r="H222" s="45"/>
      <c r="I222" s="45"/>
      <c r="J222" s="45"/>
      <c r="K222" s="60"/>
      <c r="L222" s="45"/>
      <c r="M222" s="45"/>
      <c r="N222" s="46"/>
      <c r="O222" s="46"/>
      <c r="P222" s="49"/>
      <c r="Q222" s="52"/>
      <c r="R222" s="52"/>
      <c r="S222" s="52"/>
      <c r="T222" s="30"/>
    </row>
    <row r="223" spans="2:20" ht="14.15" customHeight="1" x14ac:dyDescent="0.6">
      <c r="B223" s="50"/>
      <c r="C223" s="50"/>
      <c r="D223" s="50"/>
      <c r="E223" s="45"/>
      <c r="F223" s="45"/>
      <c r="G223" s="45"/>
      <c r="H223" s="45"/>
      <c r="I223" s="45"/>
      <c r="J223" s="45"/>
      <c r="K223" s="60"/>
      <c r="L223" s="45"/>
      <c r="M223" s="45"/>
      <c r="N223" s="46"/>
      <c r="O223" s="46"/>
      <c r="P223" s="49"/>
      <c r="Q223" s="52"/>
      <c r="R223" s="52"/>
      <c r="S223" s="52"/>
      <c r="T223" s="30"/>
    </row>
    <row r="224" spans="2:20" ht="14.15" customHeight="1" x14ac:dyDescent="0.6">
      <c r="B224" s="50"/>
      <c r="C224" s="50"/>
      <c r="D224" s="50"/>
      <c r="E224" s="45"/>
      <c r="F224" s="45"/>
      <c r="G224" s="45"/>
      <c r="H224" s="45"/>
      <c r="I224" s="45"/>
      <c r="J224" s="45"/>
      <c r="K224" s="60"/>
      <c r="L224" s="45"/>
      <c r="M224" s="45"/>
      <c r="N224" s="46"/>
      <c r="O224" s="46"/>
      <c r="P224" s="49"/>
      <c r="Q224" s="52"/>
      <c r="R224" s="52"/>
      <c r="S224" s="52"/>
      <c r="T224" s="30"/>
    </row>
    <row r="225" spans="2:20" ht="14.15" customHeight="1" x14ac:dyDescent="0.6">
      <c r="B225" s="50"/>
      <c r="C225" s="50"/>
      <c r="D225" s="50"/>
      <c r="E225" s="45"/>
      <c r="F225" s="45"/>
      <c r="G225" s="45"/>
      <c r="H225" s="45"/>
      <c r="I225" s="45"/>
      <c r="J225" s="45"/>
      <c r="K225" s="60"/>
      <c r="L225" s="45"/>
      <c r="M225" s="45"/>
      <c r="N225" s="46"/>
      <c r="O225" s="46"/>
      <c r="P225" s="49"/>
      <c r="Q225" s="52"/>
      <c r="R225" s="52"/>
      <c r="S225" s="52"/>
      <c r="T225" s="30"/>
    </row>
    <row r="226" spans="2:20" ht="14.15" customHeight="1" x14ac:dyDescent="0.6">
      <c r="B226" s="50"/>
      <c r="C226" s="50"/>
      <c r="D226" s="50"/>
      <c r="E226" s="45"/>
      <c r="F226" s="45"/>
      <c r="G226" s="45"/>
      <c r="H226" s="45"/>
      <c r="I226" s="45"/>
      <c r="J226" s="45"/>
      <c r="K226" s="60"/>
      <c r="L226" s="45"/>
      <c r="M226" s="45"/>
      <c r="N226" s="46"/>
      <c r="O226" s="46"/>
      <c r="P226" s="49"/>
      <c r="Q226" s="52"/>
      <c r="R226" s="52"/>
      <c r="S226" s="52"/>
      <c r="T226" s="30"/>
    </row>
    <row r="227" spans="2:20" ht="14.15" customHeight="1" x14ac:dyDescent="0.6">
      <c r="B227" s="50"/>
      <c r="C227" s="50"/>
      <c r="D227" s="50"/>
      <c r="E227" s="45"/>
      <c r="F227" s="45"/>
      <c r="G227" s="45"/>
      <c r="H227" s="45"/>
      <c r="I227" s="45"/>
      <c r="J227" s="45"/>
      <c r="K227" s="60"/>
      <c r="L227" s="45"/>
      <c r="M227" s="45"/>
      <c r="N227" s="46"/>
      <c r="O227" s="46"/>
      <c r="P227" s="49"/>
      <c r="Q227" s="52"/>
      <c r="R227" s="52"/>
      <c r="S227" s="52"/>
      <c r="T227" s="30"/>
    </row>
    <row r="228" spans="2:20" ht="14.15" customHeight="1" x14ac:dyDescent="0.6">
      <c r="B228" s="50"/>
      <c r="C228" s="50"/>
      <c r="D228" s="50"/>
      <c r="E228" s="45"/>
      <c r="F228" s="45"/>
      <c r="G228" s="45"/>
      <c r="H228" s="45"/>
      <c r="I228" s="45"/>
      <c r="J228" s="45"/>
      <c r="K228" s="60"/>
      <c r="L228" s="45"/>
      <c r="M228" s="45"/>
      <c r="N228" s="46"/>
      <c r="O228" s="46"/>
      <c r="P228" s="49"/>
      <c r="Q228" s="52"/>
      <c r="R228" s="52"/>
      <c r="S228" s="52"/>
      <c r="T228" s="30"/>
    </row>
    <row r="229" spans="2:20" ht="14.15" customHeight="1" x14ac:dyDescent="0.6">
      <c r="B229" s="50"/>
      <c r="C229" s="50"/>
      <c r="D229" s="50"/>
      <c r="E229" s="45"/>
      <c r="F229" s="45"/>
      <c r="G229" s="45"/>
      <c r="H229" s="45"/>
      <c r="I229" s="45"/>
      <c r="J229" s="45"/>
      <c r="K229" s="60"/>
      <c r="L229" s="45"/>
      <c r="M229" s="45"/>
      <c r="N229" s="46"/>
      <c r="O229" s="46"/>
      <c r="P229" s="49"/>
      <c r="Q229" s="52"/>
      <c r="R229" s="52"/>
      <c r="S229" s="52"/>
      <c r="T229" s="30"/>
    </row>
    <row r="230" spans="2:20" ht="14.15" customHeight="1" x14ac:dyDescent="0.6">
      <c r="B230" s="50"/>
      <c r="C230" s="50"/>
      <c r="D230" s="50"/>
      <c r="E230" s="45"/>
      <c r="F230" s="45"/>
      <c r="G230" s="45"/>
      <c r="H230" s="45"/>
      <c r="I230" s="45"/>
      <c r="J230" s="45"/>
      <c r="K230" s="60"/>
      <c r="L230" s="45"/>
      <c r="M230" s="45"/>
      <c r="N230" s="46"/>
      <c r="O230" s="46"/>
      <c r="P230" s="49"/>
      <c r="Q230" s="52"/>
      <c r="R230" s="52"/>
      <c r="S230" s="52"/>
      <c r="T230" s="30"/>
    </row>
    <row r="231" spans="2:20" ht="14.15" customHeight="1" x14ac:dyDescent="0.6">
      <c r="B231" s="50"/>
      <c r="C231" s="50"/>
      <c r="D231" s="50"/>
      <c r="E231" s="45"/>
      <c r="F231" s="45"/>
      <c r="G231" s="45"/>
      <c r="H231" s="45"/>
      <c r="I231" s="45"/>
      <c r="J231" s="45"/>
      <c r="K231" s="60"/>
      <c r="L231" s="45"/>
      <c r="M231" s="45"/>
      <c r="N231" s="46"/>
      <c r="O231" s="46"/>
      <c r="P231" s="49"/>
      <c r="Q231" s="52"/>
      <c r="R231" s="52"/>
      <c r="S231" s="52"/>
      <c r="T231" s="30"/>
    </row>
    <row r="232" spans="2:20" ht="14.15" customHeight="1" x14ac:dyDescent="0.6">
      <c r="B232" s="50"/>
      <c r="C232" s="50"/>
      <c r="D232" s="50"/>
      <c r="E232" s="45"/>
      <c r="F232" s="45"/>
      <c r="G232" s="45"/>
      <c r="H232" s="45"/>
      <c r="I232" s="45"/>
      <c r="J232" s="45"/>
      <c r="K232" s="60"/>
      <c r="L232" s="45"/>
      <c r="M232" s="45"/>
      <c r="N232" s="46"/>
      <c r="O232" s="46"/>
      <c r="P232" s="49"/>
      <c r="Q232" s="52"/>
      <c r="R232" s="52"/>
      <c r="S232" s="52"/>
      <c r="T232" s="30"/>
    </row>
    <row r="233" spans="2:20" ht="14.15" customHeight="1" x14ac:dyDescent="0.6">
      <c r="B233" s="50"/>
      <c r="C233" s="50"/>
      <c r="D233" s="50"/>
      <c r="E233" s="45"/>
      <c r="F233" s="45"/>
      <c r="G233" s="45"/>
      <c r="H233" s="45"/>
      <c r="I233" s="45"/>
      <c r="J233" s="45"/>
      <c r="K233" s="60"/>
      <c r="L233" s="45"/>
      <c r="M233" s="45"/>
      <c r="N233" s="46"/>
      <c r="O233" s="46"/>
      <c r="P233" s="49"/>
      <c r="Q233" s="52"/>
      <c r="R233" s="52"/>
      <c r="S233" s="52"/>
      <c r="T233" s="30"/>
    </row>
    <row r="234" spans="2:20" ht="14.15" customHeight="1" x14ac:dyDescent="0.6">
      <c r="B234" s="50"/>
      <c r="C234" s="50"/>
      <c r="D234" s="50"/>
      <c r="E234" s="45"/>
      <c r="F234" s="45"/>
      <c r="G234" s="45"/>
      <c r="H234" s="45"/>
      <c r="I234" s="45"/>
      <c r="J234" s="45"/>
      <c r="K234" s="60"/>
      <c r="L234" s="45"/>
      <c r="M234" s="45"/>
      <c r="N234" s="46"/>
      <c r="O234" s="46"/>
      <c r="P234" s="49"/>
      <c r="Q234" s="52"/>
      <c r="R234" s="52"/>
      <c r="S234" s="52"/>
      <c r="T234" s="30"/>
    </row>
    <row r="235" spans="2:20" ht="14.15" customHeight="1" x14ac:dyDescent="0.6">
      <c r="B235" s="50"/>
      <c r="C235" s="50"/>
      <c r="D235" s="50"/>
      <c r="E235" s="45"/>
      <c r="F235" s="45"/>
      <c r="G235" s="45"/>
      <c r="H235" s="45"/>
      <c r="I235" s="45"/>
      <c r="J235" s="45"/>
      <c r="K235" s="60"/>
      <c r="L235" s="45"/>
      <c r="M235" s="45"/>
      <c r="N235" s="46"/>
      <c r="O235" s="46"/>
      <c r="P235" s="49"/>
      <c r="Q235" s="52"/>
      <c r="R235" s="52"/>
      <c r="S235" s="52"/>
      <c r="T235" s="30"/>
    </row>
    <row r="236" spans="2:20" ht="14.15" customHeight="1" x14ac:dyDescent="0.6">
      <c r="B236" s="50"/>
      <c r="C236" s="50"/>
      <c r="D236" s="50"/>
      <c r="E236" s="45"/>
      <c r="F236" s="45"/>
      <c r="G236" s="45"/>
      <c r="H236" s="45"/>
      <c r="I236" s="45"/>
      <c r="J236" s="45"/>
      <c r="K236" s="60"/>
      <c r="L236" s="45"/>
      <c r="M236" s="45"/>
      <c r="N236" s="46"/>
      <c r="O236" s="46"/>
      <c r="P236" s="49"/>
      <c r="Q236" s="52"/>
      <c r="R236" s="52"/>
      <c r="S236" s="52"/>
      <c r="T236" s="30"/>
    </row>
    <row r="237" spans="2:20" ht="14.15" customHeight="1" x14ac:dyDescent="0.6">
      <c r="B237" s="50"/>
      <c r="C237" s="50"/>
      <c r="D237" s="50"/>
      <c r="E237" s="45"/>
      <c r="F237" s="45"/>
      <c r="G237" s="45"/>
      <c r="H237" s="45"/>
      <c r="I237" s="45"/>
      <c r="J237" s="45"/>
      <c r="K237" s="60"/>
      <c r="L237" s="45"/>
      <c r="M237" s="45"/>
      <c r="N237" s="46"/>
      <c r="O237" s="46"/>
      <c r="P237" s="49"/>
      <c r="Q237" s="52"/>
      <c r="R237" s="52"/>
      <c r="S237" s="52"/>
      <c r="T237" s="30"/>
    </row>
    <row r="238" spans="2:20" ht="14.15" customHeight="1" x14ac:dyDescent="0.6">
      <c r="B238" s="50"/>
      <c r="C238" s="50"/>
      <c r="D238" s="50"/>
      <c r="E238" s="45"/>
      <c r="F238" s="45"/>
      <c r="G238" s="45"/>
      <c r="H238" s="45"/>
      <c r="I238" s="45"/>
      <c r="J238" s="45"/>
      <c r="K238" s="60"/>
      <c r="L238" s="45"/>
      <c r="M238" s="45"/>
      <c r="N238" s="46"/>
      <c r="O238" s="46"/>
      <c r="P238" s="49"/>
      <c r="Q238" s="52"/>
      <c r="R238" s="52"/>
      <c r="S238" s="52"/>
      <c r="T238" s="30"/>
    </row>
    <row r="239" spans="2:20" ht="14.15" customHeight="1" x14ac:dyDescent="0.6">
      <c r="B239" s="50"/>
      <c r="C239" s="50"/>
      <c r="D239" s="50"/>
      <c r="E239" s="45"/>
      <c r="F239" s="45"/>
      <c r="G239" s="45"/>
      <c r="H239" s="45"/>
      <c r="I239" s="45"/>
      <c r="J239" s="45"/>
      <c r="K239" s="60"/>
      <c r="L239" s="45"/>
      <c r="M239" s="45"/>
      <c r="N239" s="46"/>
      <c r="O239" s="46"/>
      <c r="P239" s="49"/>
      <c r="Q239" s="52"/>
      <c r="R239" s="52"/>
      <c r="S239" s="52"/>
      <c r="T239" s="30"/>
    </row>
    <row r="240" spans="2:20" ht="14.15" customHeight="1" x14ac:dyDescent="0.6">
      <c r="B240" s="50"/>
      <c r="C240" s="50"/>
      <c r="D240" s="50"/>
      <c r="E240" s="45"/>
      <c r="F240" s="45"/>
      <c r="G240" s="45"/>
      <c r="H240" s="45"/>
      <c r="I240" s="45"/>
      <c r="J240" s="45"/>
      <c r="K240" s="60"/>
      <c r="L240" s="45"/>
      <c r="M240" s="45"/>
      <c r="N240" s="46"/>
      <c r="O240" s="46"/>
      <c r="P240" s="49"/>
      <c r="Q240" s="52"/>
      <c r="R240" s="52"/>
      <c r="S240" s="52"/>
      <c r="T240" s="30"/>
    </row>
    <row r="241" spans="2:20" ht="14.15" customHeight="1" x14ac:dyDescent="0.6">
      <c r="B241" s="50"/>
      <c r="C241" s="50"/>
      <c r="D241" s="50"/>
      <c r="E241" s="45"/>
      <c r="F241" s="45"/>
      <c r="G241" s="45"/>
      <c r="H241" s="45"/>
      <c r="I241" s="45"/>
      <c r="J241" s="45"/>
      <c r="K241" s="60"/>
      <c r="L241" s="45"/>
      <c r="M241" s="45"/>
      <c r="N241" s="46"/>
      <c r="O241" s="46"/>
      <c r="P241" s="49"/>
      <c r="Q241" s="52"/>
      <c r="R241" s="52"/>
      <c r="S241" s="52"/>
      <c r="T241" s="30"/>
    </row>
    <row r="242" spans="2:20" ht="14.15" customHeight="1" x14ac:dyDescent="0.6">
      <c r="B242" s="50"/>
      <c r="C242" s="50"/>
      <c r="D242" s="50"/>
      <c r="E242" s="45"/>
      <c r="F242" s="45"/>
      <c r="G242" s="45"/>
      <c r="H242" s="45"/>
      <c r="I242" s="45"/>
      <c r="J242" s="45"/>
      <c r="K242" s="60"/>
      <c r="L242" s="45"/>
      <c r="M242" s="45"/>
      <c r="N242" s="46"/>
      <c r="O242" s="46"/>
      <c r="P242" s="49"/>
      <c r="Q242" s="52"/>
      <c r="R242" s="52"/>
      <c r="S242" s="52"/>
      <c r="T242" s="30"/>
    </row>
    <row r="243" spans="2:20" ht="14.15" customHeight="1" x14ac:dyDescent="0.6">
      <c r="B243" s="50"/>
      <c r="C243" s="50"/>
      <c r="D243" s="50"/>
      <c r="E243" s="45"/>
      <c r="F243" s="45"/>
      <c r="G243" s="45"/>
      <c r="H243" s="45"/>
      <c r="I243" s="45"/>
      <c r="J243" s="45"/>
      <c r="K243" s="60"/>
      <c r="L243" s="45"/>
      <c r="M243" s="45"/>
      <c r="N243" s="46"/>
      <c r="O243" s="46"/>
      <c r="P243" s="49"/>
      <c r="Q243" s="52"/>
      <c r="R243" s="52"/>
      <c r="S243" s="52"/>
      <c r="T243" s="30"/>
    </row>
    <row r="244" spans="2:20" ht="14.15" customHeight="1" x14ac:dyDescent="0.6">
      <c r="B244" s="50"/>
      <c r="C244" s="50"/>
      <c r="D244" s="50"/>
      <c r="E244" s="45"/>
      <c r="F244" s="45"/>
      <c r="G244" s="45"/>
      <c r="H244" s="45"/>
      <c r="I244" s="45"/>
      <c r="J244" s="45"/>
      <c r="K244" s="60"/>
      <c r="L244" s="45"/>
      <c r="M244" s="45"/>
      <c r="N244" s="46"/>
      <c r="O244" s="46"/>
      <c r="P244" s="49"/>
      <c r="Q244" s="52"/>
      <c r="R244" s="52"/>
      <c r="S244" s="52"/>
      <c r="T244" s="30"/>
    </row>
    <row r="245" spans="2:20" ht="14.15" customHeight="1" x14ac:dyDescent="0.6">
      <c r="B245" s="50"/>
      <c r="C245" s="50"/>
      <c r="D245" s="50"/>
      <c r="E245" s="45"/>
      <c r="F245" s="45"/>
      <c r="G245" s="45"/>
      <c r="H245" s="45"/>
      <c r="I245" s="45"/>
      <c r="J245" s="45"/>
      <c r="K245" s="60"/>
      <c r="L245" s="45"/>
      <c r="M245" s="45"/>
      <c r="N245" s="46"/>
      <c r="O245" s="46"/>
      <c r="P245" s="49"/>
      <c r="Q245" s="52"/>
      <c r="R245" s="52"/>
      <c r="S245" s="52"/>
      <c r="T245" s="30"/>
    </row>
    <row r="246" spans="2:20" ht="14.15" customHeight="1" x14ac:dyDescent="0.6">
      <c r="B246" s="50"/>
      <c r="C246" s="50"/>
      <c r="D246" s="50"/>
      <c r="E246" s="45"/>
      <c r="F246" s="45"/>
      <c r="G246" s="45"/>
      <c r="H246" s="45"/>
      <c r="I246" s="45"/>
      <c r="J246" s="45"/>
      <c r="K246" s="60"/>
      <c r="L246" s="45"/>
      <c r="M246" s="45"/>
      <c r="N246" s="46"/>
      <c r="O246" s="46"/>
      <c r="P246" s="49"/>
      <c r="Q246" s="52"/>
      <c r="R246" s="52"/>
      <c r="S246" s="52"/>
      <c r="T246" s="30"/>
    </row>
    <row r="247" spans="2:20" ht="14.15" customHeight="1" x14ac:dyDescent="0.6">
      <c r="B247" s="50"/>
      <c r="C247" s="50"/>
      <c r="D247" s="50"/>
      <c r="E247" s="45"/>
      <c r="F247" s="45"/>
      <c r="G247" s="45"/>
      <c r="H247" s="45"/>
      <c r="I247" s="45"/>
      <c r="J247" s="45"/>
      <c r="K247" s="60"/>
      <c r="L247" s="45"/>
      <c r="M247" s="45"/>
      <c r="N247" s="46"/>
      <c r="O247" s="46"/>
      <c r="P247" s="49"/>
      <c r="Q247" s="52"/>
      <c r="R247" s="52"/>
      <c r="S247" s="52"/>
      <c r="T247" s="30"/>
    </row>
    <row r="248" spans="2:20" ht="14.15" customHeight="1" x14ac:dyDescent="0.6">
      <c r="B248" s="50"/>
      <c r="C248" s="50"/>
      <c r="D248" s="50"/>
      <c r="E248" s="45"/>
      <c r="F248" s="45"/>
      <c r="G248" s="45"/>
      <c r="H248" s="45"/>
      <c r="I248" s="45"/>
      <c r="J248" s="45"/>
      <c r="K248" s="60"/>
      <c r="L248" s="45"/>
      <c r="M248" s="45"/>
      <c r="N248" s="46"/>
      <c r="O248" s="46"/>
      <c r="P248" s="49"/>
      <c r="Q248" s="52"/>
      <c r="R248" s="52"/>
      <c r="S248" s="52"/>
      <c r="T248" s="30"/>
    </row>
    <row r="249" spans="2:20" ht="14.15" customHeight="1" x14ac:dyDescent="0.6">
      <c r="B249" s="50"/>
      <c r="C249" s="50"/>
      <c r="D249" s="50"/>
      <c r="E249" s="45"/>
      <c r="F249" s="45"/>
      <c r="G249" s="45"/>
      <c r="H249" s="45"/>
      <c r="I249" s="45"/>
      <c r="J249" s="45"/>
      <c r="K249" s="60"/>
      <c r="L249" s="45"/>
      <c r="M249" s="45"/>
      <c r="N249" s="46"/>
      <c r="O249" s="46"/>
      <c r="P249" s="49"/>
      <c r="Q249" s="52"/>
      <c r="R249" s="52"/>
      <c r="S249" s="52"/>
      <c r="T249" s="30"/>
    </row>
    <row r="250" spans="2:20" ht="14.15" customHeight="1" x14ac:dyDescent="0.6">
      <c r="B250" s="50"/>
      <c r="C250" s="50"/>
      <c r="D250" s="50"/>
      <c r="E250" s="45"/>
      <c r="F250" s="45"/>
      <c r="G250" s="45"/>
      <c r="H250" s="45"/>
      <c r="I250" s="45"/>
      <c r="J250" s="45"/>
      <c r="K250" s="60"/>
      <c r="L250" s="45"/>
      <c r="M250" s="45"/>
      <c r="N250" s="46"/>
      <c r="O250" s="46"/>
      <c r="P250" s="49"/>
      <c r="Q250" s="52"/>
      <c r="R250" s="52"/>
      <c r="S250" s="52"/>
      <c r="T250" s="30"/>
    </row>
    <row r="251" spans="2:20" ht="14.15" customHeight="1" x14ac:dyDescent="0.6">
      <c r="B251" s="50"/>
      <c r="C251" s="50"/>
      <c r="D251" s="50"/>
      <c r="E251" s="45"/>
      <c r="F251" s="45"/>
      <c r="G251" s="45"/>
      <c r="H251" s="45"/>
      <c r="I251" s="45"/>
      <c r="J251" s="45"/>
      <c r="K251" s="60"/>
      <c r="L251" s="45"/>
      <c r="M251" s="45"/>
      <c r="N251" s="46"/>
      <c r="O251" s="46"/>
      <c r="P251" s="49"/>
      <c r="Q251" s="52"/>
      <c r="R251" s="52"/>
      <c r="S251" s="52"/>
      <c r="T251" s="30"/>
    </row>
    <row r="252" spans="2:20" ht="14.15" customHeight="1" x14ac:dyDescent="0.6">
      <c r="B252" s="50"/>
      <c r="C252" s="50"/>
      <c r="D252" s="50"/>
      <c r="E252" s="45"/>
      <c r="F252" s="45"/>
      <c r="G252" s="45"/>
      <c r="H252" s="45"/>
      <c r="I252" s="45"/>
      <c r="J252" s="45"/>
      <c r="K252" s="60"/>
      <c r="L252" s="45"/>
      <c r="M252" s="45"/>
      <c r="N252" s="46"/>
      <c r="O252" s="46"/>
      <c r="P252" s="49"/>
      <c r="Q252" s="52"/>
      <c r="R252" s="52"/>
      <c r="S252" s="52"/>
      <c r="T252" s="30"/>
    </row>
    <row r="253" spans="2:20" ht="14.15" customHeight="1" x14ac:dyDescent="0.6">
      <c r="B253" s="50"/>
      <c r="C253" s="50"/>
      <c r="D253" s="50"/>
      <c r="E253" s="45"/>
      <c r="F253" s="45"/>
      <c r="G253" s="45"/>
      <c r="H253" s="45"/>
      <c r="I253" s="45"/>
      <c r="J253" s="45"/>
      <c r="K253" s="60"/>
      <c r="L253" s="45"/>
      <c r="M253" s="45"/>
      <c r="N253" s="46"/>
      <c r="O253" s="46"/>
      <c r="P253" s="49"/>
      <c r="Q253" s="52"/>
      <c r="R253" s="52"/>
      <c r="S253" s="52"/>
      <c r="T253" s="30"/>
    </row>
    <row r="254" spans="2:20" ht="14.15" customHeight="1" x14ac:dyDescent="0.6">
      <c r="B254" s="50"/>
      <c r="C254" s="50"/>
      <c r="D254" s="50"/>
      <c r="E254" s="45"/>
      <c r="F254" s="45"/>
      <c r="G254" s="45"/>
      <c r="H254" s="45"/>
      <c r="I254" s="45"/>
      <c r="J254" s="45"/>
      <c r="K254" s="60"/>
      <c r="L254" s="45"/>
      <c r="M254" s="45"/>
      <c r="N254" s="46"/>
      <c r="O254" s="46"/>
      <c r="P254" s="49"/>
      <c r="Q254" s="52"/>
      <c r="R254" s="52"/>
      <c r="S254" s="52"/>
      <c r="T254" s="30"/>
    </row>
    <row r="255" spans="2:20" ht="14.15" customHeight="1" x14ac:dyDescent="0.6">
      <c r="B255" s="50"/>
      <c r="C255" s="50"/>
      <c r="D255" s="50"/>
      <c r="E255" s="45"/>
      <c r="F255" s="45"/>
      <c r="G255" s="45"/>
      <c r="H255" s="45"/>
      <c r="I255" s="45"/>
      <c r="J255" s="45"/>
      <c r="K255" s="60"/>
      <c r="L255" s="45"/>
      <c r="M255" s="45"/>
      <c r="N255" s="46"/>
      <c r="O255" s="46"/>
      <c r="P255" s="49"/>
      <c r="Q255" s="52"/>
      <c r="R255" s="52"/>
      <c r="S255" s="52"/>
      <c r="T255" s="30"/>
    </row>
    <row r="256" spans="2:20" ht="14.15" customHeight="1" x14ac:dyDescent="0.6">
      <c r="B256" s="50"/>
      <c r="C256" s="50"/>
      <c r="D256" s="50"/>
      <c r="E256" s="45"/>
      <c r="F256" s="45"/>
      <c r="G256" s="45"/>
      <c r="H256" s="45"/>
      <c r="I256" s="45"/>
      <c r="J256" s="45"/>
      <c r="K256" s="60"/>
      <c r="L256" s="45"/>
      <c r="M256" s="45"/>
      <c r="N256" s="46"/>
      <c r="O256" s="46"/>
      <c r="P256" s="49"/>
      <c r="Q256" s="52"/>
      <c r="R256" s="52"/>
      <c r="S256" s="52"/>
      <c r="T256" s="30"/>
    </row>
    <row r="257" spans="2:20" ht="14.15" customHeight="1" x14ac:dyDescent="0.6">
      <c r="B257" s="50"/>
      <c r="C257" s="50"/>
      <c r="D257" s="50"/>
      <c r="E257" s="45"/>
      <c r="F257" s="45"/>
      <c r="G257" s="45"/>
      <c r="H257" s="45"/>
      <c r="I257" s="45"/>
      <c r="J257" s="45"/>
      <c r="K257" s="60"/>
      <c r="L257" s="45"/>
      <c r="M257" s="45"/>
      <c r="N257" s="46"/>
      <c r="O257" s="46"/>
      <c r="P257" s="49"/>
      <c r="Q257" s="52"/>
      <c r="R257" s="52"/>
      <c r="S257" s="52"/>
      <c r="T257" s="30"/>
    </row>
    <row r="258" spans="2:20" ht="14.15" customHeight="1" x14ac:dyDescent="0.6">
      <c r="B258" s="50"/>
      <c r="C258" s="50"/>
      <c r="D258" s="50"/>
      <c r="E258" s="45"/>
      <c r="F258" s="45"/>
      <c r="G258" s="45"/>
      <c r="H258" s="45"/>
      <c r="I258" s="45"/>
      <c r="J258" s="45"/>
      <c r="K258" s="60"/>
      <c r="L258" s="45"/>
      <c r="M258" s="45"/>
      <c r="N258" s="46"/>
      <c r="O258" s="46"/>
      <c r="P258" s="49"/>
      <c r="Q258" s="52"/>
      <c r="R258" s="52"/>
      <c r="S258" s="52"/>
      <c r="T258" s="30"/>
    </row>
    <row r="259" spans="2:20" ht="14.15" customHeight="1" x14ac:dyDescent="0.6">
      <c r="B259" s="50"/>
      <c r="C259" s="50"/>
      <c r="D259" s="50"/>
      <c r="E259" s="45"/>
      <c r="F259" s="45"/>
      <c r="G259" s="45"/>
      <c r="H259" s="45"/>
      <c r="I259" s="45"/>
      <c r="J259" s="45"/>
      <c r="K259" s="60"/>
      <c r="L259" s="45"/>
      <c r="M259" s="45"/>
      <c r="N259" s="46"/>
      <c r="O259" s="46"/>
      <c r="P259" s="49"/>
      <c r="Q259" s="52"/>
      <c r="R259" s="52"/>
      <c r="S259" s="52"/>
      <c r="T259" s="30"/>
    </row>
    <row r="260" spans="2:20" ht="14.15" customHeight="1" x14ac:dyDescent="0.6">
      <c r="B260" s="50"/>
      <c r="C260" s="50"/>
      <c r="D260" s="50"/>
      <c r="E260" s="45"/>
      <c r="F260" s="45"/>
      <c r="G260" s="45"/>
      <c r="H260" s="45"/>
      <c r="I260" s="45"/>
      <c r="J260" s="45"/>
      <c r="K260" s="60"/>
      <c r="L260" s="45"/>
      <c r="M260" s="45"/>
      <c r="N260" s="46"/>
      <c r="O260" s="46"/>
      <c r="P260" s="49"/>
      <c r="Q260" s="52"/>
      <c r="R260" s="52"/>
      <c r="S260" s="52"/>
      <c r="T260" s="30"/>
    </row>
    <row r="261" spans="2:20" ht="14.15" customHeight="1" x14ac:dyDescent="0.6">
      <c r="B261" s="50"/>
      <c r="C261" s="50"/>
      <c r="D261" s="50"/>
      <c r="E261" s="45"/>
      <c r="F261" s="45"/>
      <c r="G261" s="45"/>
      <c r="H261" s="45"/>
      <c r="I261" s="45"/>
      <c r="J261" s="45"/>
      <c r="K261" s="60"/>
      <c r="L261" s="45"/>
      <c r="M261" s="45"/>
      <c r="N261" s="46"/>
      <c r="O261" s="46"/>
      <c r="P261" s="49"/>
      <c r="Q261" s="52"/>
      <c r="R261" s="52"/>
      <c r="S261" s="52"/>
      <c r="T261" s="30"/>
    </row>
    <row r="262" spans="2:20" ht="14.15" customHeight="1" x14ac:dyDescent="0.6">
      <c r="B262" s="50"/>
      <c r="C262" s="50"/>
      <c r="D262" s="50"/>
      <c r="E262" s="45"/>
      <c r="F262" s="45"/>
      <c r="G262" s="45"/>
      <c r="H262" s="45"/>
      <c r="I262" s="45"/>
      <c r="J262" s="45"/>
      <c r="K262" s="60"/>
      <c r="L262" s="45"/>
      <c r="M262" s="45"/>
      <c r="N262" s="46"/>
      <c r="O262" s="46"/>
      <c r="P262" s="49"/>
      <c r="Q262" s="52"/>
      <c r="R262" s="52"/>
      <c r="S262" s="52"/>
      <c r="T262" s="30"/>
    </row>
    <row r="263" spans="2:20" ht="14.15" customHeight="1" x14ac:dyDescent="0.6">
      <c r="B263" s="50"/>
      <c r="C263" s="50"/>
      <c r="D263" s="50"/>
      <c r="E263" s="45"/>
      <c r="F263" s="45"/>
      <c r="G263" s="45"/>
      <c r="H263" s="45"/>
      <c r="I263" s="45"/>
      <c r="J263" s="45"/>
      <c r="K263" s="60"/>
      <c r="L263" s="45"/>
      <c r="M263" s="45"/>
      <c r="N263" s="46"/>
      <c r="O263" s="46"/>
      <c r="P263" s="49"/>
      <c r="Q263" s="52"/>
      <c r="R263" s="52"/>
      <c r="S263" s="52"/>
      <c r="T263" s="30"/>
    </row>
    <row r="264" spans="2:20" ht="14.15" customHeight="1" x14ac:dyDescent="0.6">
      <c r="B264" s="50"/>
      <c r="C264" s="50"/>
      <c r="D264" s="50"/>
      <c r="E264" s="45"/>
      <c r="F264" s="45"/>
      <c r="G264" s="45"/>
      <c r="H264" s="45"/>
      <c r="I264" s="45"/>
      <c r="J264" s="45"/>
      <c r="K264" s="60"/>
      <c r="L264" s="45"/>
      <c r="M264" s="45"/>
      <c r="N264" s="46"/>
      <c r="O264" s="46"/>
      <c r="P264" s="49"/>
      <c r="Q264" s="52"/>
      <c r="R264" s="52"/>
      <c r="S264" s="52"/>
      <c r="T264" s="30"/>
    </row>
    <row r="265" spans="2:20" ht="14.15" customHeight="1" x14ac:dyDescent="0.6">
      <c r="B265" s="50"/>
      <c r="C265" s="50"/>
      <c r="D265" s="50"/>
      <c r="E265" s="45"/>
      <c r="F265" s="45"/>
      <c r="G265" s="45"/>
      <c r="H265" s="45"/>
      <c r="I265" s="45"/>
      <c r="J265" s="45"/>
      <c r="K265" s="60"/>
      <c r="L265" s="45"/>
      <c r="M265" s="45"/>
      <c r="N265" s="46"/>
      <c r="O265" s="46"/>
      <c r="P265" s="49"/>
      <c r="Q265" s="52"/>
      <c r="R265" s="52"/>
      <c r="S265" s="52"/>
      <c r="T265" s="30"/>
    </row>
    <row r="266" spans="2:20" ht="14.15" customHeight="1" x14ac:dyDescent="0.6">
      <c r="B266" s="50"/>
      <c r="C266" s="50"/>
      <c r="D266" s="50"/>
      <c r="E266" s="45"/>
      <c r="F266" s="45"/>
      <c r="G266" s="45"/>
      <c r="H266" s="45"/>
      <c r="I266" s="45"/>
      <c r="J266" s="45"/>
      <c r="K266" s="60"/>
      <c r="L266" s="45"/>
      <c r="M266" s="45"/>
      <c r="N266" s="46"/>
      <c r="O266" s="46"/>
      <c r="P266" s="49"/>
      <c r="Q266" s="52"/>
      <c r="R266" s="52"/>
      <c r="S266" s="52"/>
      <c r="T266" s="30"/>
    </row>
    <row r="267" spans="2:20" ht="14.15" customHeight="1" x14ac:dyDescent="0.6">
      <c r="B267" s="50"/>
      <c r="C267" s="50"/>
      <c r="D267" s="50"/>
      <c r="E267" s="45"/>
      <c r="F267" s="45"/>
      <c r="G267" s="45"/>
      <c r="H267" s="45"/>
      <c r="I267" s="45"/>
      <c r="J267" s="45"/>
      <c r="K267" s="60"/>
      <c r="L267" s="45"/>
      <c r="M267" s="45"/>
      <c r="N267" s="46"/>
      <c r="O267" s="46"/>
      <c r="P267" s="49"/>
      <c r="Q267" s="52"/>
      <c r="R267" s="52"/>
      <c r="S267" s="52"/>
      <c r="T267" s="30"/>
    </row>
    <row r="268" spans="2:20" ht="14.15" customHeight="1" x14ac:dyDescent="0.6">
      <c r="B268" s="50"/>
      <c r="C268" s="50"/>
      <c r="D268" s="50"/>
      <c r="E268" s="45"/>
      <c r="F268" s="45"/>
      <c r="G268" s="45"/>
      <c r="H268" s="45"/>
      <c r="I268" s="45"/>
      <c r="J268" s="45"/>
      <c r="K268" s="60"/>
      <c r="L268" s="45"/>
      <c r="M268" s="45"/>
      <c r="N268" s="46"/>
      <c r="O268" s="46"/>
      <c r="P268" s="49"/>
      <c r="Q268" s="52"/>
      <c r="R268" s="52"/>
      <c r="S268" s="52"/>
      <c r="T268" s="30"/>
    </row>
    <row r="269" spans="2:20" ht="14.15" customHeight="1" x14ac:dyDescent="0.6">
      <c r="B269" s="50"/>
      <c r="C269" s="50"/>
      <c r="D269" s="50"/>
      <c r="E269" s="45"/>
      <c r="F269" s="45"/>
      <c r="G269" s="45"/>
      <c r="H269" s="45"/>
      <c r="I269" s="45"/>
      <c r="J269" s="45"/>
      <c r="K269" s="60"/>
      <c r="L269" s="45"/>
      <c r="M269" s="45"/>
      <c r="N269" s="46"/>
      <c r="O269" s="46"/>
      <c r="P269" s="49"/>
      <c r="Q269" s="52"/>
      <c r="R269" s="52"/>
      <c r="S269" s="52"/>
      <c r="T269" s="30"/>
    </row>
    <row r="270" spans="2:20" ht="14.15" customHeight="1" x14ac:dyDescent="0.6">
      <c r="B270" s="50"/>
      <c r="C270" s="50"/>
      <c r="D270" s="50"/>
      <c r="E270" s="45"/>
      <c r="F270" s="45"/>
      <c r="G270" s="45"/>
      <c r="H270" s="45"/>
      <c r="I270" s="45"/>
      <c r="J270" s="45"/>
      <c r="K270" s="60"/>
      <c r="L270" s="45"/>
      <c r="M270" s="45"/>
      <c r="N270" s="46"/>
      <c r="O270" s="46"/>
      <c r="P270" s="49"/>
      <c r="Q270" s="52"/>
      <c r="R270" s="52"/>
      <c r="S270" s="52"/>
      <c r="T270" s="30"/>
    </row>
    <row r="271" spans="2:20" ht="14.15" customHeight="1" x14ac:dyDescent="0.6">
      <c r="B271" s="50"/>
      <c r="C271" s="50"/>
      <c r="D271" s="50"/>
      <c r="E271" s="45"/>
      <c r="F271" s="45"/>
      <c r="G271" s="45"/>
      <c r="H271" s="45"/>
      <c r="I271" s="45"/>
      <c r="J271" s="45"/>
      <c r="K271" s="60"/>
      <c r="L271" s="45"/>
      <c r="M271" s="45"/>
      <c r="N271" s="46"/>
      <c r="O271" s="46"/>
      <c r="P271" s="49"/>
      <c r="Q271" s="52"/>
      <c r="R271" s="52"/>
      <c r="S271" s="52"/>
      <c r="T271" s="30"/>
    </row>
    <row r="272" spans="2:20" ht="14.15" customHeight="1" x14ac:dyDescent="0.6">
      <c r="B272" s="50"/>
      <c r="C272" s="50"/>
      <c r="D272" s="50"/>
      <c r="E272" s="45"/>
      <c r="F272" s="45"/>
      <c r="G272" s="45"/>
      <c r="H272" s="45"/>
      <c r="I272" s="45"/>
      <c r="J272" s="45"/>
      <c r="K272" s="60"/>
      <c r="L272" s="45"/>
      <c r="M272" s="45"/>
      <c r="N272" s="46"/>
      <c r="O272" s="46"/>
      <c r="P272" s="49"/>
      <c r="Q272" s="52"/>
      <c r="R272" s="52"/>
      <c r="S272" s="52"/>
      <c r="T272" s="30"/>
    </row>
    <row r="273" spans="2:20" ht="14.15" customHeight="1" x14ac:dyDescent="0.6">
      <c r="B273" s="50"/>
      <c r="C273" s="50"/>
      <c r="D273" s="50"/>
      <c r="E273" s="45"/>
      <c r="F273" s="45"/>
      <c r="G273" s="45"/>
      <c r="H273" s="45"/>
      <c r="I273" s="45"/>
      <c r="J273" s="45"/>
      <c r="K273" s="60"/>
      <c r="L273" s="45"/>
      <c r="M273" s="45"/>
      <c r="N273" s="46"/>
      <c r="O273" s="46"/>
      <c r="P273" s="49"/>
      <c r="Q273" s="52"/>
      <c r="R273" s="52"/>
      <c r="S273" s="52"/>
      <c r="T273" s="30"/>
    </row>
    <row r="274" spans="2:20" ht="14.15" customHeight="1" x14ac:dyDescent="0.6">
      <c r="B274" s="50"/>
      <c r="C274" s="50"/>
      <c r="D274" s="50"/>
      <c r="E274" s="45"/>
      <c r="F274" s="45"/>
      <c r="G274" s="45"/>
      <c r="H274" s="45"/>
      <c r="I274" s="45"/>
      <c r="J274" s="45"/>
      <c r="K274" s="60"/>
      <c r="L274" s="45"/>
      <c r="M274" s="45"/>
      <c r="N274" s="46"/>
      <c r="O274" s="46"/>
      <c r="P274" s="49"/>
      <c r="Q274" s="52"/>
      <c r="R274" s="52"/>
      <c r="S274" s="52"/>
      <c r="T274" s="30"/>
    </row>
    <row r="275" spans="2:20" ht="14.15" customHeight="1" x14ac:dyDescent="0.6">
      <c r="B275" s="50"/>
      <c r="C275" s="50"/>
      <c r="D275" s="50"/>
      <c r="E275" s="45"/>
      <c r="F275" s="45"/>
      <c r="G275" s="45"/>
      <c r="H275" s="45"/>
      <c r="I275" s="45"/>
      <c r="J275" s="45"/>
      <c r="K275" s="60"/>
      <c r="L275" s="45"/>
      <c r="M275" s="45"/>
      <c r="N275" s="46"/>
      <c r="O275" s="46"/>
      <c r="P275" s="49"/>
      <c r="Q275" s="52"/>
      <c r="R275" s="52"/>
      <c r="S275" s="52"/>
      <c r="T275" s="30"/>
    </row>
    <row r="276" spans="2:20" ht="14.15" customHeight="1" x14ac:dyDescent="0.6">
      <c r="B276" s="50"/>
      <c r="C276" s="50"/>
      <c r="D276" s="50"/>
      <c r="E276" s="45"/>
      <c r="F276" s="45"/>
      <c r="G276" s="45"/>
      <c r="H276" s="45"/>
      <c r="I276" s="45"/>
      <c r="J276" s="45"/>
      <c r="K276" s="60"/>
      <c r="L276" s="45"/>
      <c r="M276" s="45"/>
      <c r="N276" s="46"/>
      <c r="O276" s="46"/>
      <c r="P276" s="49"/>
      <c r="Q276" s="52"/>
      <c r="R276" s="52"/>
      <c r="S276" s="52"/>
      <c r="T276" s="30"/>
    </row>
    <row r="277" spans="2:20" ht="14.15" customHeight="1" x14ac:dyDescent="0.6">
      <c r="B277" s="50"/>
      <c r="C277" s="50"/>
      <c r="D277" s="50"/>
      <c r="E277" s="45"/>
      <c r="F277" s="45"/>
      <c r="G277" s="45"/>
      <c r="H277" s="45"/>
      <c r="I277" s="45"/>
      <c r="J277" s="45"/>
      <c r="K277" s="60"/>
      <c r="L277" s="45"/>
      <c r="M277" s="45"/>
      <c r="N277" s="46"/>
      <c r="O277" s="46"/>
      <c r="P277" s="49"/>
      <c r="Q277" s="52"/>
      <c r="R277" s="52"/>
      <c r="S277" s="52"/>
      <c r="T277" s="30"/>
    </row>
    <row r="278" spans="2:20" ht="14.15" customHeight="1" x14ac:dyDescent="0.6">
      <c r="B278" s="50"/>
      <c r="C278" s="50"/>
      <c r="D278" s="50"/>
      <c r="E278" s="45"/>
      <c r="F278" s="45"/>
      <c r="G278" s="45"/>
      <c r="H278" s="45"/>
      <c r="I278" s="45"/>
      <c r="J278" s="45"/>
      <c r="K278" s="60"/>
      <c r="L278" s="45"/>
      <c r="M278" s="45"/>
      <c r="N278" s="46"/>
      <c r="O278" s="46"/>
      <c r="P278" s="49"/>
      <c r="Q278" s="52"/>
      <c r="R278" s="52"/>
      <c r="S278" s="52"/>
      <c r="T278" s="30"/>
    </row>
    <row r="279" spans="2:20" ht="14.15" customHeight="1" x14ac:dyDescent="0.6">
      <c r="B279" s="50"/>
      <c r="C279" s="50"/>
      <c r="D279" s="50"/>
      <c r="E279" s="45"/>
      <c r="F279" s="45"/>
      <c r="G279" s="45"/>
      <c r="H279" s="45"/>
      <c r="I279" s="45"/>
      <c r="J279" s="45"/>
      <c r="K279" s="60"/>
      <c r="L279" s="45"/>
      <c r="M279" s="45"/>
      <c r="N279" s="46"/>
      <c r="O279" s="46"/>
      <c r="P279" s="49"/>
      <c r="Q279" s="52"/>
      <c r="R279" s="52"/>
      <c r="S279" s="52"/>
      <c r="T279" s="30"/>
    </row>
    <row r="280" spans="2:20" ht="14.15" customHeight="1" x14ac:dyDescent="0.6">
      <c r="B280" s="50"/>
      <c r="C280" s="50"/>
      <c r="D280" s="50"/>
      <c r="E280" s="45"/>
      <c r="F280" s="45"/>
      <c r="G280" s="45"/>
      <c r="H280" s="45"/>
      <c r="I280" s="45"/>
      <c r="J280" s="45"/>
      <c r="K280" s="60"/>
      <c r="L280" s="45"/>
      <c r="M280" s="45"/>
      <c r="N280" s="46"/>
      <c r="O280" s="46"/>
      <c r="P280" s="49"/>
      <c r="Q280" s="52"/>
      <c r="R280" s="52"/>
      <c r="S280" s="52"/>
      <c r="T280" s="30"/>
    </row>
    <row r="281" spans="2:20" ht="14.15" customHeight="1" x14ac:dyDescent="0.6">
      <c r="B281" s="50"/>
      <c r="C281" s="50"/>
      <c r="D281" s="50"/>
      <c r="E281" s="45"/>
      <c r="F281" s="45"/>
      <c r="G281" s="45"/>
      <c r="H281" s="45"/>
      <c r="I281" s="45"/>
      <c r="J281" s="45"/>
      <c r="K281" s="60"/>
      <c r="L281" s="45"/>
      <c r="M281" s="45"/>
      <c r="N281" s="46"/>
      <c r="O281" s="46"/>
      <c r="P281" s="49"/>
      <c r="Q281" s="52"/>
      <c r="R281" s="52"/>
      <c r="S281" s="52"/>
      <c r="T281" s="30"/>
    </row>
    <row r="282" spans="2:20" ht="14.15" customHeight="1" x14ac:dyDescent="0.6">
      <c r="B282" s="50"/>
      <c r="C282" s="50"/>
      <c r="D282" s="50"/>
      <c r="E282" s="45"/>
      <c r="F282" s="45"/>
      <c r="G282" s="45"/>
      <c r="H282" s="45"/>
      <c r="I282" s="45"/>
      <c r="J282" s="45"/>
      <c r="K282" s="60"/>
      <c r="L282" s="45"/>
      <c r="M282" s="45"/>
      <c r="N282" s="46"/>
      <c r="O282" s="46"/>
      <c r="P282" s="49"/>
      <c r="Q282" s="52"/>
      <c r="R282" s="52"/>
      <c r="S282" s="52"/>
      <c r="T282" s="30"/>
    </row>
    <row r="283" spans="2:20" ht="14.15" customHeight="1" x14ac:dyDescent="0.6">
      <c r="B283" s="50"/>
      <c r="C283" s="50"/>
      <c r="D283" s="50"/>
      <c r="E283" s="45"/>
      <c r="F283" s="45"/>
      <c r="G283" s="45"/>
      <c r="H283" s="45"/>
      <c r="I283" s="45"/>
      <c r="J283" s="45"/>
      <c r="K283" s="60"/>
      <c r="L283" s="45"/>
      <c r="M283" s="45"/>
      <c r="N283" s="46"/>
      <c r="O283" s="46"/>
      <c r="P283" s="49"/>
      <c r="Q283" s="52"/>
      <c r="R283" s="52"/>
      <c r="S283" s="52"/>
      <c r="T283" s="30"/>
    </row>
    <row r="284" spans="2:20" ht="14.15" customHeight="1" x14ac:dyDescent="0.6">
      <c r="B284" s="50"/>
      <c r="C284" s="50"/>
      <c r="D284" s="50"/>
      <c r="E284" s="45"/>
      <c r="F284" s="45"/>
      <c r="G284" s="45"/>
      <c r="H284" s="45"/>
      <c r="I284" s="45"/>
      <c r="J284" s="45"/>
      <c r="K284" s="60"/>
      <c r="L284" s="45"/>
      <c r="M284" s="45"/>
      <c r="N284" s="46"/>
      <c r="O284" s="46"/>
      <c r="P284" s="49"/>
      <c r="Q284" s="52"/>
      <c r="R284" s="52"/>
      <c r="S284" s="52"/>
      <c r="T284" s="30"/>
    </row>
    <row r="285" spans="2:20" ht="14.15" customHeight="1" x14ac:dyDescent="0.6">
      <c r="B285" s="50"/>
      <c r="C285" s="50"/>
      <c r="D285" s="50"/>
      <c r="E285" s="45"/>
      <c r="F285" s="45"/>
      <c r="G285" s="45"/>
      <c r="H285" s="45"/>
      <c r="I285" s="45"/>
      <c r="J285" s="45"/>
      <c r="K285" s="60"/>
      <c r="L285" s="45"/>
      <c r="M285" s="45"/>
      <c r="N285" s="46"/>
      <c r="O285" s="46"/>
      <c r="P285" s="49"/>
      <c r="Q285" s="52"/>
      <c r="R285" s="52"/>
      <c r="S285" s="52"/>
      <c r="T285" s="30"/>
    </row>
    <row r="286" spans="2:20" ht="14.15" customHeight="1" x14ac:dyDescent="0.6">
      <c r="B286" s="50"/>
      <c r="C286" s="50"/>
      <c r="D286" s="50"/>
      <c r="E286" s="45"/>
      <c r="F286" s="45"/>
      <c r="G286" s="45"/>
      <c r="H286" s="45"/>
      <c r="I286" s="45"/>
      <c r="J286" s="45"/>
      <c r="K286" s="60"/>
      <c r="L286" s="45"/>
      <c r="M286" s="45"/>
      <c r="N286" s="46"/>
      <c r="O286" s="46"/>
      <c r="P286" s="49"/>
      <c r="Q286" s="52"/>
      <c r="R286" s="52"/>
      <c r="S286" s="52"/>
      <c r="T286" s="30"/>
    </row>
    <row r="287" spans="2:20" ht="14.15" customHeight="1" x14ac:dyDescent="0.6">
      <c r="B287" s="50"/>
      <c r="C287" s="50"/>
      <c r="D287" s="50"/>
      <c r="E287" s="45"/>
      <c r="F287" s="45"/>
      <c r="G287" s="45"/>
      <c r="H287" s="45"/>
      <c r="I287" s="45"/>
      <c r="J287" s="45"/>
      <c r="K287" s="60"/>
      <c r="L287" s="45"/>
      <c r="M287" s="45"/>
      <c r="N287" s="46"/>
      <c r="O287" s="46"/>
      <c r="P287" s="49"/>
      <c r="Q287" s="52"/>
      <c r="R287" s="52"/>
      <c r="S287" s="52"/>
      <c r="T287" s="30"/>
    </row>
    <row r="288" spans="2:20" ht="14.15" customHeight="1" x14ac:dyDescent="0.6">
      <c r="B288" s="50"/>
      <c r="C288" s="50"/>
      <c r="D288" s="50"/>
      <c r="E288" s="45"/>
      <c r="F288" s="45"/>
      <c r="G288" s="45"/>
      <c r="H288" s="45"/>
      <c r="I288" s="45"/>
      <c r="J288" s="45"/>
      <c r="K288" s="60"/>
      <c r="L288" s="45"/>
      <c r="M288" s="45"/>
      <c r="N288" s="46"/>
      <c r="O288" s="46"/>
      <c r="P288" s="49"/>
      <c r="Q288" s="52"/>
      <c r="R288" s="52"/>
      <c r="S288" s="52"/>
      <c r="T288" s="30"/>
    </row>
    <row r="289" spans="2:20" ht="14.15" customHeight="1" x14ac:dyDescent="0.6">
      <c r="B289" s="50"/>
      <c r="C289" s="50"/>
      <c r="D289" s="50"/>
      <c r="E289" s="45"/>
      <c r="F289" s="45"/>
      <c r="G289" s="45"/>
      <c r="H289" s="45"/>
      <c r="I289" s="45"/>
      <c r="J289" s="45"/>
      <c r="K289" s="60"/>
      <c r="L289" s="45"/>
      <c r="M289" s="45"/>
      <c r="N289" s="46"/>
      <c r="O289" s="46"/>
      <c r="P289" s="49"/>
      <c r="Q289" s="52"/>
      <c r="R289" s="52"/>
      <c r="S289" s="52"/>
      <c r="T289" s="30"/>
    </row>
    <row r="290" spans="2:20" ht="14.15" customHeight="1" x14ac:dyDescent="0.6">
      <c r="B290" s="50"/>
      <c r="C290" s="50"/>
      <c r="D290" s="50"/>
      <c r="E290" s="45"/>
      <c r="F290" s="45"/>
      <c r="G290" s="45"/>
      <c r="H290" s="45"/>
      <c r="I290" s="45"/>
      <c r="J290" s="45"/>
      <c r="K290" s="60"/>
      <c r="L290" s="45"/>
      <c r="M290" s="45"/>
      <c r="N290" s="46"/>
      <c r="O290" s="46"/>
      <c r="P290" s="49"/>
      <c r="Q290" s="52"/>
      <c r="R290" s="52"/>
      <c r="S290" s="52"/>
      <c r="T290" s="30"/>
    </row>
    <row r="291" spans="2:20" ht="14.15" customHeight="1" x14ac:dyDescent="0.6">
      <c r="B291" s="50"/>
      <c r="C291" s="50"/>
      <c r="D291" s="50"/>
      <c r="E291" s="45"/>
      <c r="F291" s="45"/>
      <c r="G291" s="45"/>
      <c r="H291" s="45"/>
      <c r="I291" s="45"/>
      <c r="J291" s="45"/>
      <c r="K291" s="60"/>
      <c r="L291" s="45"/>
      <c r="M291" s="45"/>
      <c r="N291" s="46"/>
      <c r="O291" s="46"/>
      <c r="P291" s="49"/>
      <c r="Q291" s="52"/>
      <c r="R291" s="52"/>
      <c r="S291" s="52"/>
      <c r="T291" s="30"/>
    </row>
    <row r="292" spans="2:20" ht="14.15" customHeight="1" x14ac:dyDescent="0.6">
      <c r="B292" s="50"/>
      <c r="C292" s="50"/>
      <c r="D292" s="50"/>
      <c r="E292" s="45"/>
      <c r="F292" s="45"/>
      <c r="G292" s="45"/>
      <c r="H292" s="45"/>
      <c r="I292" s="45"/>
      <c r="J292" s="45"/>
      <c r="K292" s="60"/>
      <c r="L292" s="45"/>
      <c r="M292" s="45"/>
      <c r="N292" s="46"/>
      <c r="O292" s="46"/>
      <c r="P292" s="49"/>
      <c r="Q292" s="52"/>
      <c r="R292" s="52"/>
      <c r="S292" s="52"/>
      <c r="T292" s="30"/>
    </row>
    <row r="293" spans="2:20" ht="14.15" customHeight="1" x14ac:dyDescent="0.6">
      <c r="B293" s="50"/>
      <c r="C293" s="50"/>
      <c r="D293" s="50"/>
      <c r="E293" s="45"/>
      <c r="F293" s="45"/>
      <c r="G293" s="45"/>
      <c r="H293" s="45"/>
      <c r="I293" s="45"/>
      <c r="J293" s="45"/>
      <c r="K293" s="60"/>
      <c r="L293" s="45"/>
      <c r="M293" s="45"/>
      <c r="N293" s="46"/>
      <c r="O293" s="46"/>
      <c r="P293" s="49"/>
      <c r="Q293" s="52"/>
      <c r="R293" s="52"/>
      <c r="S293" s="52"/>
      <c r="T293" s="30"/>
    </row>
    <row r="294" spans="2:20" ht="14.15" customHeight="1" x14ac:dyDescent="0.6">
      <c r="B294" s="50"/>
      <c r="C294" s="50"/>
      <c r="D294" s="50"/>
      <c r="E294" s="45"/>
      <c r="F294" s="45"/>
      <c r="G294" s="45"/>
      <c r="H294" s="45"/>
      <c r="I294" s="45"/>
      <c r="J294" s="45"/>
      <c r="K294" s="60"/>
      <c r="L294" s="45"/>
      <c r="M294" s="45"/>
      <c r="N294" s="46"/>
      <c r="O294" s="46"/>
      <c r="P294" s="49"/>
      <c r="Q294" s="52"/>
      <c r="R294" s="52"/>
      <c r="S294" s="52"/>
      <c r="T294" s="30"/>
    </row>
    <row r="295" spans="2:20" ht="14.15" customHeight="1" x14ac:dyDescent="0.6">
      <c r="B295" s="50"/>
      <c r="C295" s="50"/>
      <c r="D295" s="50"/>
      <c r="E295" s="45"/>
      <c r="F295" s="45"/>
      <c r="G295" s="45"/>
      <c r="H295" s="45"/>
      <c r="I295" s="45"/>
      <c r="J295" s="45"/>
      <c r="K295" s="60"/>
      <c r="L295" s="45"/>
      <c r="M295" s="45"/>
      <c r="N295" s="46"/>
      <c r="O295" s="46"/>
      <c r="P295" s="49"/>
      <c r="Q295" s="52"/>
      <c r="R295" s="52"/>
      <c r="S295" s="52"/>
      <c r="T295" s="30"/>
    </row>
    <row r="296" spans="2:20" ht="14.15" customHeight="1" x14ac:dyDescent="0.6">
      <c r="B296" s="50"/>
      <c r="C296" s="50"/>
      <c r="D296" s="50"/>
      <c r="E296" s="45"/>
      <c r="F296" s="45"/>
      <c r="G296" s="45"/>
      <c r="H296" s="45"/>
      <c r="I296" s="45"/>
      <c r="J296" s="45"/>
      <c r="K296" s="60"/>
      <c r="L296" s="45"/>
      <c r="M296" s="45"/>
      <c r="N296" s="46"/>
      <c r="O296" s="46"/>
      <c r="P296" s="49"/>
      <c r="Q296" s="52"/>
      <c r="R296" s="52"/>
      <c r="S296" s="52"/>
      <c r="T296" s="30"/>
    </row>
    <row r="297" spans="2:20" ht="14.15" customHeight="1" x14ac:dyDescent="0.6">
      <c r="B297" s="50"/>
      <c r="C297" s="50"/>
      <c r="D297" s="50"/>
      <c r="E297" s="45"/>
      <c r="F297" s="45"/>
      <c r="G297" s="45"/>
      <c r="H297" s="45"/>
      <c r="I297" s="45"/>
      <c r="J297" s="45"/>
      <c r="K297" s="60"/>
      <c r="L297" s="45"/>
      <c r="M297" s="45"/>
      <c r="N297" s="46"/>
      <c r="O297" s="46"/>
      <c r="P297" s="49"/>
      <c r="Q297" s="52"/>
      <c r="R297" s="52"/>
      <c r="S297" s="52"/>
      <c r="T297" s="30"/>
    </row>
    <row r="298" spans="2:20" ht="14.15" customHeight="1" x14ac:dyDescent="0.6">
      <c r="B298" s="50"/>
      <c r="C298" s="50"/>
      <c r="D298" s="50"/>
      <c r="E298" s="45"/>
      <c r="F298" s="45"/>
      <c r="G298" s="45"/>
      <c r="H298" s="45"/>
      <c r="I298" s="45"/>
      <c r="J298" s="45"/>
      <c r="K298" s="60"/>
      <c r="L298" s="45"/>
      <c r="M298" s="45"/>
      <c r="N298" s="46"/>
      <c r="O298" s="46"/>
      <c r="P298" s="49"/>
      <c r="Q298" s="52"/>
      <c r="R298" s="52"/>
      <c r="S298" s="52"/>
      <c r="T298" s="30"/>
    </row>
    <row r="299" spans="2:20" ht="14.15" customHeight="1" x14ac:dyDescent="0.6">
      <c r="B299" s="50"/>
      <c r="C299" s="50"/>
      <c r="D299" s="50"/>
      <c r="E299" s="45"/>
      <c r="F299" s="45"/>
      <c r="G299" s="45"/>
      <c r="H299" s="45"/>
      <c r="I299" s="45"/>
      <c r="J299" s="45"/>
      <c r="K299" s="60"/>
      <c r="L299" s="45"/>
      <c r="M299" s="45"/>
      <c r="N299" s="46"/>
      <c r="O299" s="46"/>
      <c r="P299" s="49"/>
      <c r="Q299" s="52"/>
      <c r="R299" s="52"/>
      <c r="S299" s="52"/>
      <c r="T299" s="30"/>
    </row>
    <row r="300" spans="2:20" ht="14.15" customHeight="1" x14ac:dyDescent="0.6">
      <c r="B300" s="50"/>
      <c r="C300" s="50"/>
      <c r="D300" s="50"/>
      <c r="E300" s="45"/>
      <c r="F300" s="45"/>
      <c r="G300" s="45"/>
      <c r="H300" s="45"/>
      <c r="I300" s="45"/>
      <c r="J300" s="45"/>
      <c r="K300" s="60"/>
      <c r="L300" s="45"/>
      <c r="M300" s="45"/>
      <c r="N300" s="46"/>
      <c r="O300" s="46"/>
      <c r="P300" s="49"/>
      <c r="Q300" s="52"/>
      <c r="R300" s="52"/>
      <c r="S300" s="52"/>
      <c r="T300" s="30"/>
    </row>
    <row r="301" spans="2:20" ht="14.15" customHeight="1" x14ac:dyDescent="0.6">
      <c r="B301" s="50"/>
      <c r="C301" s="50"/>
      <c r="D301" s="50"/>
      <c r="E301" s="45"/>
      <c r="F301" s="45"/>
      <c r="G301" s="45"/>
      <c r="H301" s="45"/>
      <c r="I301" s="45"/>
      <c r="J301" s="45"/>
      <c r="K301" s="60"/>
      <c r="L301" s="45"/>
      <c r="M301" s="45"/>
      <c r="N301" s="46"/>
      <c r="O301" s="46"/>
      <c r="P301" s="49"/>
      <c r="Q301" s="52"/>
      <c r="R301" s="52"/>
      <c r="S301" s="52"/>
      <c r="T301" s="30"/>
    </row>
    <row r="302" spans="2:20" ht="14.15" customHeight="1" x14ac:dyDescent="0.6">
      <c r="B302" s="50"/>
      <c r="C302" s="50"/>
      <c r="D302" s="50"/>
      <c r="E302" s="45"/>
      <c r="F302" s="45"/>
      <c r="G302" s="45"/>
      <c r="H302" s="45"/>
      <c r="I302" s="45"/>
      <c r="J302" s="45"/>
      <c r="K302" s="60"/>
      <c r="L302" s="45"/>
      <c r="M302" s="45"/>
      <c r="N302" s="46"/>
      <c r="O302" s="46"/>
      <c r="P302" s="49"/>
      <c r="Q302" s="52"/>
      <c r="R302" s="52"/>
      <c r="S302" s="52"/>
      <c r="T302" s="30"/>
    </row>
    <row r="303" spans="2:20" ht="14.15" customHeight="1" x14ac:dyDescent="0.6">
      <c r="B303" s="50"/>
      <c r="C303" s="50"/>
      <c r="D303" s="50"/>
      <c r="E303" s="45"/>
      <c r="F303" s="45"/>
      <c r="G303" s="45"/>
      <c r="H303" s="45"/>
      <c r="I303" s="45"/>
      <c r="J303" s="45"/>
      <c r="K303" s="60"/>
      <c r="L303" s="45"/>
      <c r="M303" s="45"/>
      <c r="N303" s="46"/>
      <c r="O303" s="46"/>
      <c r="P303" s="49"/>
      <c r="Q303" s="52"/>
      <c r="R303" s="52"/>
      <c r="S303" s="52"/>
      <c r="T303" s="30"/>
    </row>
    <row r="304" spans="2:20" ht="14.15" customHeight="1" x14ac:dyDescent="0.6">
      <c r="B304" s="50"/>
      <c r="C304" s="50"/>
      <c r="D304" s="50"/>
      <c r="E304" s="45"/>
      <c r="F304" s="45"/>
      <c r="G304" s="45"/>
      <c r="H304" s="45"/>
      <c r="I304" s="45"/>
      <c r="J304" s="45"/>
      <c r="K304" s="60"/>
      <c r="L304" s="45"/>
      <c r="M304" s="45"/>
      <c r="N304" s="46"/>
      <c r="O304" s="46"/>
      <c r="P304" s="49"/>
      <c r="Q304" s="52"/>
      <c r="R304" s="52"/>
      <c r="S304" s="52"/>
      <c r="T304" s="30"/>
    </row>
    <row r="305" spans="2:20" ht="14.15" customHeight="1" x14ac:dyDescent="0.6">
      <c r="B305" s="50"/>
      <c r="C305" s="50"/>
      <c r="D305" s="50"/>
      <c r="E305" s="45"/>
      <c r="F305" s="45"/>
      <c r="G305" s="45"/>
      <c r="H305" s="45"/>
      <c r="I305" s="45"/>
      <c r="J305" s="45"/>
      <c r="K305" s="60"/>
      <c r="L305" s="45"/>
      <c r="M305" s="45"/>
      <c r="N305" s="46"/>
      <c r="O305" s="46"/>
      <c r="P305" s="49"/>
      <c r="Q305" s="52"/>
      <c r="R305" s="52"/>
      <c r="S305" s="52"/>
      <c r="T305" s="30"/>
    </row>
    <row r="306" spans="2:20" ht="14.15" customHeight="1" x14ac:dyDescent="0.6">
      <c r="B306" s="50"/>
      <c r="C306" s="50"/>
      <c r="D306" s="50"/>
      <c r="E306" s="45"/>
      <c r="F306" s="45"/>
      <c r="G306" s="45"/>
      <c r="H306" s="45"/>
      <c r="I306" s="45"/>
      <c r="J306" s="45"/>
      <c r="K306" s="60"/>
      <c r="L306" s="45"/>
      <c r="M306" s="45"/>
      <c r="N306" s="46"/>
      <c r="O306" s="46"/>
      <c r="P306" s="49"/>
      <c r="Q306" s="52"/>
      <c r="R306" s="52"/>
      <c r="S306" s="52"/>
      <c r="T306" s="30"/>
    </row>
    <row r="307" spans="2:20" ht="14.15" customHeight="1" x14ac:dyDescent="0.6">
      <c r="B307" s="50"/>
      <c r="C307" s="50"/>
      <c r="D307" s="50"/>
      <c r="E307" s="45"/>
      <c r="F307" s="45"/>
      <c r="G307" s="45"/>
      <c r="H307" s="45"/>
      <c r="I307" s="45"/>
      <c r="J307" s="45"/>
      <c r="K307" s="60"/>
      <c r="L307" s="45"/>
      <c r="M307" s="45"/>
      <c r="N307" s="46"/>
      <c r="O307" s="46"/>
      <c r="P307" s="49"/>
      <c r="Q307" s="52"/>
      <c r="R307" s="52"/>
      <c r="S307" s="52"/>
      <c r="T307" s="30"/>
    </row>
    <row r="308" spans="2:20" ht="14.15" customHeight="1" x14ac:dyDescent="0.6">
      <c r="B308" s="50"/>
      <c r="C308" s="50"/>
      <c r="D308" s="50"/>
      <c r="E308" s="45"/>
      <c r="F308" s="45"/>
      <c r="G308" s="45"/>
      <c r="H308" s="45"/>
      <c r="I308" s="45"/>
      <c r="J308" s="45"/>
      <c r="K308" s="60"/>
      <c r="L308" s="45"/>
      <c r="M308" s="45"/>
      <c r="N308" s="46"/>
      <c r="O308" s="46"/>
      <c r="P308" s="49"/>
      <c r="Q308" s="52"/>
      <c r="R308" s="52"/>
      <c r="S308" s="52"/>
      <c r="T308" s="30"/>
    </row>
    <row r="309" spans="2:20" ht="14.15" customHeight="1" x14ac:dyDescent="0.6">
      <c r="B309" s="50"/>
      <c r="C309" s="50"/>
      <c r="D309" s="50"/>
      <c r="E309" s="45"/>
      <c r="F309" s="45"/>
      <c r="G309" s="45"/>
      <c r="H309" s="45"/>
      <c r="I309" s="45"/>
      <c r="J309" s="45"/>
      <c r="K309" s="60"/>
      <c r="L309" s="45"/>
      <c r="M309" s="45"/>
      <c r="N309" s="46"/>
      <c r="O309" s="46"/>
      <c r="P309" s="49"/>
      <c r="Q309" s="52"/>
      <c r="R309" s="52"/>
      <c r="S309" s="52"/>
      <c r="T309" s="30"/>
    </row>
    <row r="310" spans="2:20" ht="14.15" customHeight="1" x14ac:dyDescent="0.6">
      <c r="B310" s="50"/>
      <c r="C310" s="50"/>
      <c r="D310" s="50"/>
      <c r="E310" s="45"/>
      <c r="F310" s="45"/>
      <c r="G310" s="45"/>
      <c r="H310" s="45"/>
      <c r="I310" s="45"/>
      <c r="J310" s="45"/>
      <c r="K310" s="60"/>
      <c r="L310" s="45"/>
      <c r="M310" s="45"/>
      <c r="N310" s="46"/>
      <c r="O310" s="46"/>
      <c r="P310" s="49"/>
      <c r="Q310" s="52"/>
      <c r="R310" s="52"/>
      <c r="S310" s="52"/>
      <c r="T310" s="30"/>
    </row>
    <row r="311" spans="2:20" ht="14.15" customHeight="1" x14ac:dyDescent="0.6">
      <c r="B311" s="50"/>
      <c r="C311" s="50"/>
      <c r="D311" s="50"/>
      <c r="E311" s="45"/>
      <c r="F311" s="45"/>
      <c r="G311" s="45"/>
      <c r="H311" s="45"/>
      <c r="I311" s="45"/>
      <c r="J311" s="45"/>
      <c r="K311" s="60"/>
      <c r="L311" s="45"/>
      <c r="M311" s="45"/>
      <c r="N311" s="46"/>
      <c r="O311" s="46"/>
      <c r="P311" s="49"/>
      <c r="Q311" s="52"/>
      <c r="R311" s="52"/>
      <c r="S311" s="52"/>
      <c r="T311" s="30"/>
    </row>
    <row r="312" spans="2:20" ht="14.15" customHeight="1" x14ac:dyDescent="0.6">
      <c r="B312" s="50"/>
      <c r="C312" s="50"/>
      <c r="D312" s="50"/>
      <c r="E312" s="45"/>
      <c r="F312" s="45"/>
      <c r="G312" s="45"/>
      <c r="H312" s="45"/>
      <c r="I312" s="45"/>
      <c r="J312" s="45"/>
      <c r="K312" s="60"/>
      <c r="L312" s="45"/>
      <c r="M312" s="45"/>
      <c r="N312" s="46"/>
      <c r="O312" s="46"/>
      <c r="P312" s="49"/>
      <c r="Q312" s="52"/>
      <c r="R312" s="52"/>
      <c r="S312" s="52"/>
      <c r="T312" s="30"/>
    </row>
    <row r="313" spans="2:20" ht="14.15" customHeight="1" x14ac:dyDescent="0.6">
      <c r="B313" s="50"/>
      <c r="C313" s="50"/>
      <c r="D313" s="50"/>
      <c r="E313" s="45"/>
      <c r="F313" s="45"/>
      <c r="G313" s="45"/>
      <c r="H313" s="45"/>
      <c r="I313" s="45"/>
      <c r="J313" s="45"/>
      <c r="K313" s="60"/>
      <c r="L313" s="45"/>
      <c r="M313" s="45"/>
      <c r="N313" s="46"/>
      <c r="O313" s="46"/>
      <c r="P313" s="49"/>
      <c r="Q313" s="52"/>
      <c r="R313" s="52"/>
      <c r="S313" s="52"/>
      <c r="T313" s="30"/>
    </row>
    <row r="314" spans="2:20" ht="14.15" customHeight="1" x14ac:dyDescent="0.6">
      <c r="B314" s="50"/>
      <c r="C314" s="50"/>
      <c r="D314" s="50"/>
      <c r="E314" s="45"/>
      <c r="F314" s="45"/>
      <c r="G314" s="45"/>
      <c r="H314" s="45"/>
      <c r="I314" s="45"/>
      <c r="J314" s="45"/>
      <c r="K314" s="60"/>
      <c r="L314" s="45"/>
      <c r="M314" s="45"/>
      <c r="N314" s="46"/>
      <c r="O314" s="46"/>
      <c r="P314" s="49"/>
      <c r="Q314" s="52"/>
      <c r="R314" s="52"/>
      <c r="S314" s="52"/>
      <c r="T314" s="30"/>
    </row>
    <row r="315" spans="2:20" ht="14.15" customHeight="1" x14ac:dyDescent="0.6">
      <c r="B315" s="50"/>
      <c r="C315" s="50"/>
      <c r="D315" s="50"/>
      <c r="E315" s="45"/>
      <c r="F315" s="45"/>
      <c r="G315" s="45"/>
      <c r="H315" s="45"/>
      <c r="I315" s="45"/>
      <c r="J315" s="45"/>
      <c r="K315" s="60"/>
      <c r="L315" s="45"/>
      <c r="M315" s="45"/>
      <c r="N315" s="46"/>
      <c r="O315" s="46"/>
      <c r="P315" s="49"/>
      <c r="Q315" s="52"/>
      <c r="R315" s="52"/>
      <c r="S315" s="52"/>
      <c r="T315" s="30"/>
    </row>
    <row r="316" spans="2:20" ht="14.15" customHeight="1" x14ac:dyDescent="0.6">
      <c r="B316" s="50"/>
      <c r="C316" s="50"/>
      <c r="D316" s="50"/>
      <c r="E316" s="45"/>
      <c r="F316" s="45"/>
      <c r="G316" s="45"/>
      <c r="H316" s="45"/>
      <c r="I316" s="45"/>
      <c r="J316" s="45"/>
      <c r="K316" s="60"/>
      <c r="L316" s="45"/>
      <c r="M316" s="45"/>
      <c r="N316" s="46"/>
      <c r="O316" s="46"/>
      <c r="P316" s="49"/>
      <c r="Q316" s="52"/>
      <c r="R316" s="52"/>
      <c r="S316" s="52"/>
      <c r="T316" s="30"/>
    </row>
    <row r="317" spans="2:20" ht="14.15" customHeight="1" x14ac:dyDescent="0.6">
      <c r="B317" s="50"/>
      <c r="C317" s="50"/>
      <c r="D317" s="50"/>
      <c r="E317" s="45"/>
      <c r="F317" s="45"/>
      <c r="G317" s="45"/>
      <c r="H317" s="45"/>
      <c r="I317" s="45"/>
      <c r="J317" s="45"/>
      <c r="K317" s="60"/>
      <c r="L317" s="45"/>
      <c r="M317" s="45"/>
      <c r="N317" s="46"/>
      <c r="O317" s="46"/>
      <c r="P317" s="49"/>
      <c r="Q317" s="52"/>
      <c r="R317" s="52"/>
      <c r="S317" s="52"/>
      <c r="T317" s="30"/>
    </row>
    <row r="318" spans="2:20" ht="14.15" customHeight="1" x14ac:dyDescent="0.6">
      <c r="B318" s="50"/>
      <c r="C318" s="50"/>
      <c r="D318" s="50"/>
      <c r="E318" s="45"/>
      <c r="F318" s="45"/>
      <c r="G318" s="45"/>
      <c r="H318" s="45"/>
      <c r="I318" s="45"/>
      <c r="J318" s="45"/>
      <c r="K318" s="60"/>
      <c r="L318" s="45"/>
      <c r="M318" s="45"/>
      <c r="N318" s="46"/>
      <c r="O318" s="46"/>
      <c r="P318" s="49"/>
      <c r="Q318" s="52"/>
      <c r="R318" s="52"/>
      <c r="S318" s="52"/>
      <c r="T318" s="30"/>
    </row>
    <row r="319" spans="2:20" ht="14.15" customHeight="1" x14ac:dyDescent="0.6">
      <c r="B319" s="50"/>
      <c r="C319" s="50"/>
      <c r="D319" s="50"/>
      <c r="E319" s="45"/>
      <c r="F319" s="45"/>
      <c r="G319" s="45"/>
      <c r="H319" s="45"/>
      <c r="I319" s="45"/>
      <c r="J319" s="45"/>
      <c r="K319" s="60"/>
      <c r="L319" s="45"/>
      <c r="M319" s="45"/>
      <c r="N319" s="46"/>
      <c r="O319" s="46"/>
      <c r="P319" s="49"/>
      <c r="Q319" s="52"/>
      <c r="R319" s="52"/>
      <c r="S319" s="52"/>
      <c r="T319" s="30"/>
    </row>
    <row r="320" spans="2:20" ht="14.15" customHeight="1" x14ac:dyDescent="0.6">
      <c r="B320" s="50"/>
      <c r="C320" s="50"/>
      <c r="D320" s="50"/>
      <c r="E320" s="45"/>
      <c r="F320" s="45"/>
      <c r="G320" s="45"/>
      <c r="H320" s="45"/>
      <c r="I320" s="45"/>
      <c r="J320" s="45"/>
      <c r="K320" s="60"/>
      <c r="L320" s="45"/>
      <c r="M320" s="45"/>
      <c r="N320" s="46"/>
      <c r="O320" s="46"/>
      <c r="P320" s="49"/>
      <c r="Q320" s="52"/>
      <c r="R320" s="52"/>
      <c r="S320" s="52"/>
      <c r="T320" s="30"/>
    </row>
    <row r="321" spans="2:20" ht="14.15" customHeight="1" x14ac:dyDescent="0.6">
      <c r="B321" s="50"/>
      <c r="C321" s="50"/>
      <c r="D321" s="50"/>
      <c r="E321" s="45"/>
      <c r="F321" s="45"/>
      <c r="G321" s="45"/>
      <c r="H321" s="45"/>
      <c r="I321" s="45"/>
      <c r="J321" s="45"/>
      <c r="K321" s="60"/>
      <c r="L321" s="45"/>
      <c r="M321" s="45"/>
      <c r="N321" s="46"/>
      <c r="O321" s="46"/>
      <c r="P321" s="49"/>
      <c r="Q321" s="52"/>
      <c r="R321" s="52"/>
      <c r="S321" s="52"/>
      <c r="T321" s="30"/>
    </row>
    <row r="322" spans="2:20" ht="14.15" customHeight="1" x14ac:dyDescent="0.6">
      <c r="B322" s="50"/>
      <c r="C322" s="50"/>
      <c r="D322" s="50"/>
      <c r="E322" s="45"/>
      <c r="F322" s="45"/>
      <c r="G322" s="45"/>
      <c r="H322" s="45"/>
      <c r="I322" s="45"/>
      <c r="J322" s="45"/>
      <c r="K322" s="60"/>
      <c r="L322" s="45"/>
      <c r="M322" s="45"/>
      <c r="N322" s="46"/>
      <c r="O322" s="46"/>
      <c r="P322" s="49"/>
      <c r="Q322" s="52"/>
      <c r="R322" s="52"/>
      <c r="S322" s="52"/>
      <c r="T322" s="30"/>
    </row>
    <row r="323" spans="2:20" ht="14.15" customHeight="1" x14ac:dyDescent="0.6">
      <c r="B323" s="50"/>
      <c r="C323" s="50"/>
      <c r="D323" s="50"/>
      <c r="E323" s="45"/>
      <c r="F323" s="45"/>
      <c r="G323" s="45"/>
      <c r="H323" s="45"/>
      <c r="I323" s="45"/>
      <c r="J323" s="45"/>
      <c r="K323" s="60"/>
      <c r="L323" s="45"/>
      <c r="M323" s="45"/>
      <c r="N323" s="46"/>
      <c r="O323" s="46"/>
      <c r="P323" s="49"/>
      <c r="Q323" s="52"/>
      <c r="R323" s="52"/>
      <c r="S323" s="52"/>
      <c r="T323" s="30"/>
    </row>
    <row r="324" spans="2:20" ht="14.15" customHeight="1" x14ac:dyDescent="0.6">
      <c r="B324" s="50"/>
      <c r="C324" s="50"/>
      <c r="D324" s="50"/>
      <c r="E324" s="45"/>
      <c r="F324" s="45"/>
      <c r="G324" s="45"/>
      <c r="H324" s="45"/>
      <c r="I324" s="45"/>
      <c r="J324" s="45"/>
      <c r="K324" s="60"/>
      <c r="L324" s="45"/>
      <c r="M324" s="45"/>
      <c r="N324" s="46"/>
      <c r="O324" s="46"/>
      <c r="P324" s="49"/>
      <c r="Q324" s="52"/>
      <c r="R324" s="52"/>
      <c r="S324" s="52"/>
      <c r="T324" s="30"/>
    </row>
    <row r="325" spans="2:20" ht="14.15" customHeight="1" x14ac:dyDescent="0.6">
      <c r="B325" s="50"/>
      <c r="C325" s="50"/>
      <c r="D325" s="50"/>
      <c r="E325" s="45"/>
      <c r="F325" s="45"/>
      <c r="G325" s="45"/>
      <c r="H325" s="45"/>
      <c r="I325" s="45"/>
      <c r="J325" s="45"/>
      <c r="K325" s="60"/>
      <c r="L325" s="45"/>
      <c r="M325" s="45"/>
      <c r="N325" s="46"/>
      <c r="O325" s="46"/>
      <c r="P325" s="49"/>
      <c r="Q325" s="52"/>
      <c r="R325" s="52"/>
      <c r="S325" s="52"/>
      <c r="T325" s="30"/>
    </row>
    <row r="326" spans="2:20" ht="14.15" customHeight="1" x14ac:dyDescent="0.6">
      <c r="B326" s="50"/>
      <c r="C326" s="50"/>
      <c r="D326" s="50"/>
      <c r="E326" s="45"/>
      <c r="F326" s="45"/>
      <c r="G326" s="45"/>
      <c r="H326" s="45"/>
      <c r="I326" s="45"/>
      <c r="J326" s="45"/>
      <c r="K326" s="60"/>
      <c r="L326" s="45"/>
      <c r="M326" s="45"/>
      <c r="N326" s="46"/>
      <c r="O326" s="46"/>
      <c r="P326" s="49"/>
      <c r="Q326" s="52"/>
      <c r="R326" s="52"/>
      <c r="S326" s="52"/>
      <c r="T326" s="30"/>
    </row>
    <row r="327" spans="2:20" ht="14.15" customHeight="1" x14ac:dyDescent="0.6">
      <c r="B327" s="50"/>
      <c r="C327" s="50"/>
      <c r="D327" s="50"/>
      <c r="E327" s="45"/>
      <c r="F327" s="45"/>
      <c r="G327" s="45"/>
      <c r="H327" s="45"/>
      <c r="I327" s="45"/>
      <c r="J327" s="45"/>
      <c r="K327" s="60"/>
      <c r="L327" s="45"/>
      <c r="M327" s="45"/>
      <c r="N327" s="46"/>
      <c r="O327" s="46"/>
      <c r="P327" s="49"/>
      <c r="Q327" s="52"/>
      <c r="R327" s="52"/>
      <c r="S327" s="52"/>
      <c r="T327" s="30"/>
    </row>
    <row r="328" spans="2:20" ht="14.15" customHeight="1" x14ac:dyDescent="0.6">
      <c r="B328" s="50"/>
      <c r="C328" s="50"/>
      <c r="D328" s="50"/>
      <c r="E328" s="45"/>
      <c r="F328" s="45"/>
      <c r="G328" s="45"/>
      <c r="H328" s="45"/>
      <c r="I328" s="45"/>
      <c r="J328" s="45"/>
      <c r="K328" s="60"/>
      <c r="L328" s="45"/>
      <c r="M328" s="45"/>
      <c r="N328" s="46"/>
      <c r="O328" s="46"/>
      <c r="P328" s="49"/>
      <c r="Q328" s="52"/>
      <c r="R328" s="52"/>
      <c r="S328" s="52"/>
      <c r="T328" s="30"/>
    </row>
    <row r="329" spans="2:20" ht="14.15" customHeight="1" x14ac:dyDescent="0.6">
      <c r="B329" s="50"/>
      <c r="C329" s="50"/>
      <c r="D329" s="50"/>
      <c r="E329" s="45"/>
      <c r="F329" s="45"/>
      <c r="G329" s="45"/>
      <c r="H329" s="45"/>
      <c r="I329" s="45"/>
      <c r="J329" s="45"/>
      <c r="K329" s="60"/>
      <c r="L329" s="45"/>
      <c r="M329" s="45"/>
      <c r="N329" s="46"/>
      <c r="O329" s="46"/>
      <c r="P329" s="49"/>
      <c r="Q329" s="52"/>
      <c r="R329" s="52"/>
      <c r="S329" s="52"/>
      <c r="T329" s="30"/>
    </row>
    <row r="330" spans="2:20" ht="14.15" customHeight="1" x14ac:dyDescent="0.6">
      <c r="B330" s="50"/>
      <c r="C330" s="50"/>
      <c r="D330" s="50"/>
      <c r="E330" s="45"/>
      <c r="F330" s="45"/>
      <c r="G330" s="45"/>
      <c r="H330" s="45"/>
      <c r="I330" s="45"/>
      <c r="J330" s="45"/>
      <c r="K330" s="60"/>
      <c r="L330" s="45"/>
      <c r="M330" s="45"/>
      <c r="N330" s="46"/>
      <c r="O330" s="46"/>
      <c r="P330" s="49"/>
      <c r="Q330" s="52"/>
      <c r="R330" s="52"/>
      <c r="S330" s="52"/>
      <c r="T330" s="30"/>
    </row>
    <row r="331" spans="2:20" ht="14.15" customHeight="1" x14ac:dyDescent="0.6">
      <c r="B331" s="50"/>
      <c r="C331" s="50"/>
      <c r="D331" s="50"/>
      <c r="E331" s="45"/>
      <c r="F331" s="45"/>
      <c r="G331" s="45"/>
      <c r="H331" s="45"/>
      <c r="I331" s="45"/>
      <c r="J331" s="45"/>
      <c r="K331" s="60"/>
      <c r="L331" s="45"/>
      <c r="M331" s="45"/>
      <c r="N331" s="46"/>
      <c r="O331" s="46"/>
      <c r="P331" s="49"/>
      <c r="Q331" s="52"/>
      <c r="R331" s="52"/>
      <c r="S331" s="52"/>
      <c r="T331" s="30"/>
    </row>
    <row r="332" spans="2:20" ht="14.15" customHeight="1" x14ac:dyDescent="0.6">
      <c r="B332" s="50"/>
      <c r="C332" s="50"/>
      <c r="D332" s="50"/>
      <c r="E332" s="45"/>
      <c r="F332" s="45"/>
      <c r="G332" s="45"/>
      <c r="H332" s="45"/>
      <c r="I332" s="45"/>
      <c r="J332" s="45"/>
      <c r="K332" s="60"/>
      <c r="L332" s="45"/>
      <c r="M332" s="45"/>
      <c r="N332" s="46"/>
      <c r="O332" s="46"/>
      <c r="P332" s="49"/>
      <c r="Q332" s="52"/>
      <c r="R332" s="52"/>
      <c r="S332" s="52"/>
      <c r="T332" s="30"/>
    </row>
    <row r="333" spans="2:20" ht="14.15" customHeight="1" x14ac:dyDescent="0.6">
      <c r="B333" s="50"/>
      <c r="C333" s="50"/>
      <c r="D333" s="50"/>
      <c r="E333" s="45"/>
      <c r="F333" s="45"/>
      <c r="G333" s="45"/>
      <c r="H333" s="45"/>
      <c r="I333" s="45"/>
      <c r="J333" s="45"/>
      <c r="K333" s="60"/>
      <c r="L333" s="45"/>
      <c r="M333" s="45"/>
      <c r="N333" s="46"/>
      <c r="O333" s="46"/>
      <c r="P333" s="49"/>
      <c r="Q333" s="52"/>
      <c r="R333" s="52"/>
      <c r="S333" s="52"/>
      <c r="T333" s="30"/>
    </row>
    <row r="334" spans="2:20" ht="14.15" customHeight="1" x14ac:dyDescent="0.6">
      <c r="B334" s="50"/>
      <c r="C334" s="50"/>
      <c r="D334" s="50"/>
      <c r="E334" s="45"/>
      <c r="F334" s="45"/>
      <c r="G334" s="45"/>
      <c r="H334" s="45"/>
      <c r="I334" s="45"/>
      <c r="J334" s="45"/>
      <c r="K334" s="60"/>
      <c r="L334" s="45"/>
      <c r="M334" s="45"/>
      <c r="N334" s="46"/>
      <c r="O334" s="46"/>
      <c r="P334" s="49"/>
      <c r="Q334" s="52"/>
      <c r="R334" s="52"/>
      <c r="S334" s="52"/>
      <c r="T334" s="30"/>
    </row>
    <row r="335" spans="2:20" ht="14.15" customHeight="1" x14ac:dyDescent="0.6">
      <c r="B335" s="50"/>
      <c r="C335" s="50"/>
      <c r="D335" s="50"/>
      <c r="E335" s="45"/>
      <c r="F335" s="45"/>
      <c r="G335" s="45"/>
      <c r="H335" s="45"/>
      <c r="I335" s="45"/>
      <c r="J335" s="45"/>
      <c r="K335" s="60"/>
      <c r="L335" s="45"/>
      <c r="M335" s="45"/>
      <c r="N335" s="46"/>
      <c r="O335" s="46"/>
      <c r="P335" s="49"/>
      <c r="Q335" s="52"/>
      <c r="R335" s="52"/>
      <c r="S335" s="52"/>
      <c r="T335" s="30"/>
    </row>
    <row r="336" spans="2:20" ht="14.15" customHeight="1" x14ac:dyDescent="0.6">
      <c r="B336" s="50"/>
      <c r="C336" s="50"/>
      <c r="D336" s="50"/>
      <c r="E336" s="45"/>
      <c r="F336" s="45"/>
      <c r="G336" s="45"/>
      <c r="H336" s="45"/>
      <c r="I336" s="45"/>
      <c r="J336" s="45"/>
      <c r="K336" s="60"/>
      <c r="L336" s="45"/>
      <c r="M336" s="45"/>
      <c r="N336" s="46"/>
      <c r="O336" s="46"/>
      <c r="P336" s="49"/>
      <c r="Q336" s="52"/>
      <c r="R336" s="52"/>
      <c r="S336" s="52"/>
      <c r="T336" s="30"/>
    </row>
    <row r="337" spans="2:20" ht="14.15" customHeight="1" x14ac:dyDescent="0.6">
      <c r="B337" s="50"/>
      <c r="C337" s="50"/>
      <c r="D337" s="50"/>
      <c r="E337" s="45"/>
      <c r="F337" s="45"/>
      <c r="G337" s="45"/>
      <c r="H337" s="45"/>
      <c r="I337" s="45"/>
      <c r="J337" s="45"/>
      <c r="K337" s="60"/>
      <c r="L337" s="45"/>
      <c r="M337" s="45"/>
      <c r="N337" s="46"/>
      <c r="O337" s="46"/>
      <c r="P337" s="49"/>
      <c r="Q337" s="52"/>
      <c r="R337" s="52"/>
      <c r="S337" s="52"/>
      <c r="T337" s="30"/>
    </row>
    <row r="338" spans="2:20" ht="14.15" customHeight="1" x14ac:dyDescent="0.6">
      <c r="B338" s="50"/>
      <c r="C338" s="50"/>
      <c r="D338" s="50"/>
      <c r="E338" s="45"/>
      <c r="F338" s="45"/>
      <c r="G338" s="45"/>
      <c r="H338" s="45"/>
      <c r="I338" s="45"/>
      <c r="J338" s="45"/>
      <c r="K338" s="60"/>
      <c r="L338" s="45"/>
      <c r="M338" s="45"/>
      <c r="N338" s="46"/>
      <c r="O338" s="46"/>
      <c r="P338" s="49"/>
      <c r="Q338" s="52"/>
      <c r="R338" s="52"/>
      <c r="S338" s="52"/>
      <c r="T338" s="30"/>
    </row>
    <row r="339" spans="2:20" ht="14.15" customHeight="1" x14ac:dyDescent="0.6">
      <c r="B339" s="50"/>
      <c r="C339" s="50"/>
      <c r="D339" s="50"/>
      <c r="E339" s="45"/>
      <c r="F339" s="45"/>
      <c r="G339" s="45"/>
      <c r="H339" s="45"/>
      <c r="I339" s="45"/>
      <c r="J339" s="45"/>
      <c r="K339" s="60"/>
      <c r="L339" s="45"/>
      <c r="M339" s="45"/>
      <c r="N339" s="46"/>
      <c r="O339" s="46"/>
      <c r="P339" s="49"/>
      <c r="Q339" s="52"/>
      <c r="R339" s="52"/>
      <c r="S339" s="52"/>
      <c r="T339" s="30"/>
    </row>
    <row r="340" spans="2:20" ht="14.15" customHeight="1" x14ac:dyDescent="0.6">
      <c r="B340" s="50"/>
      <c r="C340" s="50"/>
      <c r="D340" s="50"/>
      <c r="E340" s="45"/>
      <c r="F340" s="45"/>
      <c r="G340" s="45"/>
      <c r="H340" s="45"/>
      <c r="I340" s="45"/>
      <c r="J340" s="45"/>
      <c r="K340" s="60"/>
      <c r="L340" s="45"/>
      <c r="M340" s="45"/>
      <c r="N340" s="46"/>
      <c r="O340" s="46"/>
      <c r="P340" s="49"/>
      <c r="Q340" s="52"/>
      <c r="R340" s="52"/>
      <c r="S340" s="52"/>
      <c r="T340" s="30"/>
    </row>
    <row r="341" spans="2:20" ht="14.15" customHeight="1" x14ac:dyDescent="0.6">
      <c r="B341" s="50"/>
      <c r="C341" s="50"/>
      <c r="D341" s="50"/>
      <c r="E341" s="45"/>
      <c r="F341" s="45"/>
      <c r="G341" s="45"/>
      <c r="H341" s="45"/>
      <c r="I341" s="45"/>
      <c r="J341" s="45"/>
      <c r="K341" s="60"/>
      <c r="L341" s="45"/>
      <c r="M341" s="45"/>
      <c r="N341" s="46"/>
      <c r="O341" s="46"/>
      <c r="P341" s="49"/>
      <c r="Q341" s="52"/>
      <c r="R341" s="52"/>
      <c r="S341" s="52"/>
      <c r="T341" s="30"/>
    </row>
    <row r="342" spans="2:20" ht="14.15" customHeight="1" x14ac:dyDescent="0.6">
      <c r="B342" s="50"/>
      <c r="C342" s="50"/>
      <c r="D342" s="50"/>
      <c r="E342" s="45"/>
      <c r="F342" s="45"/>
      <c r="G342" s="45"/>
      <c r="H342" s="45"/>
      <c r="I342" s="45"/>
      <c r="J342" s="45"/>
      <c r="K342" s="60"/>
      <c r="L342" s="45"/>
      <c r="M342" s="45"/>
      <c r="N342" s="46"/>
      <c r="O342" s="46"/>
      <c r="P342" s="49"/>
      <c r="Q342" s="52"/>
      <c r="R342" s="52"/>
      <c r="S342" s="52"/>
      <c r="T342" s="30"/>
    </row>
    <row r="343" spans="2:20" ht="14.15" customHeight="1" x14ac:dyDescent="0.6">
      <c r="B343" s="50"/>
      <c r="C343" s="50"/>
      <c r="D343" s="50"/>
      <c r="E343" s="45"/>
      <c r="F343" s="45"/>
      <c r="G343" s="45"/>
      <c r="H343" s="45"/>
      <c r="I343" s="45"/>
      <c r="J343" s="45"/>
      <c r="K343" s="60"/>
      <c r="L343" s="45"/>
      <c r="M343" s="45"/>
      <c r="N343" s="46"/>
      <c r="O343" s="46"/>
      <c r="P343" s="49"/>
      <c r="Q343" s="52"/>
      <c r="R343" s="52"/>
      <c r="S343" s="52"/>
      <c r="T343" s="30"/>
    </row>
    <row r="344" spans="2:20" ht="14.15" customHeight="1" x14ac:dyDescent="0.6">
      <c r="B344" s="50"/>
      <c r="C344" s="50"/>
      <c r="D344" s="50"/>
      <c r="E344" s="45"/>
      <c r="F344" s="45"/>
      <c r="G344" s="45"/>
      <c r="H344" s="45"/>
      <c r="I344" s="45"/>
      <c r="J344" s="45"/>
      <c r="K344" s="60"/>
      <c r="L344" s="45"/>
      <c r="M344" s="45"/>
      <c r="N344" s="46"/>
      <c r="O344" s="46"/>
      <c r="P344" s="49"/>
      <c r="Q344" s="52"/>
      <c r="R344" s="52"/>
      <c r="S344" s="52"/>
      <c r="T344" s="30"/>
    </row>
    <row r="345" spans="2:20" ht="14.15" customHeight="1" x14ac:dyDescent="0.6">
      <c r="B345" s="50"/>
      <c r="C345" s="50"/>
      <c r="D345" s="50"/>
      <c r="E345" s="45"/>
      <c r="F345" s="45"/>
      <c r="G345" s="45"/>
      <c r="H345" s="45"/>
      <c r="I345" s="45"/>
      <c r="J345" s="45"/>
      <c r="K345" s="60"/>
      <c r="L345" s="45"/>
      <c r="M345" s="45"/>
      <c r="N345" s="46"/>
      <c r="O345" s="46"/>
      <c r="P345" s="49"/>
      <c r="Q345" s="52"/>
      <c r="R345" s="52"/>
      <c r="S345" s="52"/>
      <c r="T345" s="30"/>
    </row>
    <row r="346" spans="2:20" ht="14.15" customHeight="1" x14ac:dyDescent="0.6">
      <c r="B346" s="50"/>
      <c r="C346" s="50"/>
      <c r="D346" s="50"/>
      <c r="E346" s="45"/>
      <c r="F346" s="45"/>
      <c r="G346" s="45"/>
      <c r="H346" s="45"/>
      <c r="I346" s="45"/>
      <c r="J346" s="45"/>
      <c r="K346" s="60"/>
      <c r="L346" s="45"/>
      <c r="M346" s="45"/>
      <c r="N346" s="46"/>
      <c r="O346" s="46"/>
      <c r="P346" s="49"/>
      <c r="Q346" s="52"/>
      <c r="R346" s="52"/>
      <c r="S346" s="52"/>
      <c r="T346" s="30"/>
    </row>
    <row r="347" spans="2:20" ht="14.15" customHeight="1" x14ac:dyDescent="0.6">
      <c r="B347" s="50"/>
      <c r="C347" s="50"/>
      <c r="D347" s="50"/>
      <c r="E347" s="45"/>
      <c r="F347" s="45"/>
      <c r="G347" s="45"/>
      <c r="H347" s="45"/>
      <c r="I347" s="45"/>
      <c r="J347" s="45"/>
      <c r="K347" s="60"/>
      <c r="L347" s="45"/>
      <c r="M347" s="45"/>
      <c r="N347" s="46"/>
      <c r="O347" s="46"/>
      <c r="P347" s="49"/>
      <c r="Q347" s="52"/>
      <c r="R347" s="52"/>
      <c r="S347" s="52"/>
      <c r="T347" s="30"/>
    </row>
    <row r="348" spans="2:20" ht="14.15" customHeight="1" x14ac:dyDescent="0.6">
      <c r="B348" s="50"/>
      <c r="C348" s="50"/>
      <c r="D348" s="50"/>
      <c r="E348" s="45"/>
      <c r="F348" s="45"/>
      <c r="G348" s="45"/>
      <c r="H348" s="45"/>
      <c r="I348" s="45"/>
      <c r="J348" s="45"/>
      <c r="K348" s="60"/>
      <c r="L348" s="45"/>
      <c r="M348" s="45"/>
      <c r="N348" s="46"/>
      <c r="O348" s="46"/>
      <c r="P348" s="49"/>
      <c r="Q348" s="52"/>
      <c r="R348" s="52"/>
      <c r="S348" s="52"/>
      <c r="T348" s="30"/>
    </row>
    <row r="349" spans="2:20" ht="14.15" customHeight="1" x14ac:dyDescent="0.6">
      <c r="B349" s="50"/>
      <c r="C349" s="50"/>
      <c r="D349" s="50"/>
      <c r="E349" s="45"/>
      <c r="F349" s="45"/>
      <c r="G349" s="45"/>
      <c r="H349" s="45"/>
      <c r="I349" s="45"/>
      <c r="J349" s="45"/>
      <c r="K349" s="60"/>
      <c r="L349" s="45"/>
      <c r="M349" s="45"/>
      <c r="N349" s="46"/>
      <c r="O349" s="46"/>
      <c r="P349" s="49"/>
      <c r="Q349" s="52"/>
      <c r="R349" s="52"/>
      <c r="S349" s="52"/>
      <c r="T349" s="30"/>
    </row>
    <row r="350" spans="2:20" ht="14.15" customHeight="1" x14ac:dyDescent="0.6">
      <c r="B350" s="50"/>
      <c r="C350" s="50"/>
      <c r="D350" s="50"/>
      <c r="E350" s="45"/>
      <c r="F350" s="45"/>
      <c r="G350" s="45"/>
      <c r="H350" s="45"/>
      <c r="I350" s="45"/>
      <c r="J350" s="45"/>
      <c r="K350" s="60"/>
      <c r="L350" s="45"/>
      <c r="M350" s="45"/>
      <c r="N350" s="46"/>
      <c r="O350" s="46"/>
      <c r="P350" s="49"/>
      <c r="Q350" s="52"/>
      <c r="R350" s="52"/>
      <c r="S350" s="52"/>
      <c r="T350" s="30"/>
    </row>
    <row r="351" spans="2:20" ht="14.15" customHeight="1" x14ac:dyDescent="0.6">
      <c r="B351" s="50"/>
      <c r="C351" s="50"/>
      <c r="D351" s="50"/>
      <c r="E351" s="45"/>
      <c r="F351" s="45"/>
      <c r="G351" s="45"/>
      <c r="H351" s="45"/>
      <c r="I351" s="45"/>
      <c r="J351" s="45"/>
      <c r="K351" s="60"/>
      <c r="L351" s="45"/>
      <c r="M351" s="45"/>
      <c r="N351" s="46"/>
      <c r="O351" s="46"/>
      <c r="P351" s="49"/>
      <c r="Q351" s="52"/>
      <c r="R351" s="52"/>
      <c r="S351" s="52"/>
      <c r="T351" s="30"/>
    </row>
    <row r="352" spans="2:20" ht="14.15" customHeight="1" x14ac:dyDescent="0.6">
      <c r="B352" s="50"/>
      <c r="C352" s="50"/>
      <c r="D352" s="50"/>
      <c r="E352" s="45"/>
      <c r="F352" s="45"/>
      <c r="G352" s="45"/>
      <c r="H352" s="45"/>
      <c r="I352" s="45"/>
      <c r="J352" s="45"/>
      <c r="K352" s="60"/>
      <c r="L352" s="45"/>
      <c r="M352" s="45"/>
      <c r="N352" s="46"/>
      <c r="O352" s="46"/>
      <c r="P352" s="49"/>
      <c r="Q352" s="52"/>
      <c r="R352" s="52"/>
      <c r="S352" s="52"/>
      <c r="T352" s="30"/>
    </row>
    <row r="353" spans="2:20" ht="14.15" customHeight="1" x14ac:dyDescent="0.6">
      <c r="B353" s="50"/>
      <c r="C353" s="50"/>
      <c r="D353" s="50"/>
      <c r="E353" s="45"/>
      <c r="F353" s="45"/>
      <c r="G353" s="45"/>
      <c r="H353" s="45"/>
      <c r="I353" s="45"/>
      <c r="J353" s="45"/>
      <c r="K353" s="60"/>
      <c r="L353" s="45"/>
      <c r="M353" s="45"/>
      <c r="N353" s="46"/>
      <c r="O353" s="46"/>
      <c r="P353" s="49"/>
      <c r="Q353" s="52"/>
      <c r="R353" s="52"/>
      <c r="S353" s="52"/>
      <c r="T353" s="30"/>
    </row>
    <row r="354" spans="2:20" ht="14.15" customHeight="1" x14ac:dyDescent="0.6">
      <c r="B354" s="50"/>
      <c r="C354" s="50"/>
      <c r="D354" s="50"/>
      <c r="E354" s="45"/>
      <c r="F354" s="45"/>
      <c r="G354" s="45"/>
      <c r="H354" s="45"/>
      <c r="I354" s="45"/>
      <c r="J354" s="45"/>
      <c r="K354" s="60"/>
      <c r="L354" s="45"/>
      <c r="M354" s="45"/>
      <c r="N354" s="46"/>
      <c r="O354" s="46"/>
      <c r="P354" s="49"/>
      <c r="Q354" s="52"/>
      <c r="R354" s="52"/>
      <c r="S354" s="52"/>
      <c r="T354" s="30"/>
    </row>
    <row r="355" spans="2:20" ht="14.15" customHeight="1" x14ac:dyDescent="0.6">
      <c r="B355" s="50"/>
      <c r="C355" s="50"/>
      <c r="D355" s="50"/>
      <c r="E355" s="45"/>
      <c r="F355" s="45"/>
      <c r="G355" s="45"/>
      <c r="H355" s="45"/>
      <c r="I355" s="45"/>
      <c r="J355" s="45"/>
      <c r="K355" s="60"/>
      <c r="L355" s="45"/>
      <c r="M355" s="45"/>
      <c r="N355" s="46"/>
      <c r="O355" s="46"/>
      <c r="P355" s="49"/>
      <c r="Q355" s="52"/>
      <c r="R355" s="52"/>
      <c r="S355" s="52"/>
      <c r="T355" s="30"/>
    </row>
    <row r="356" spans="2:20" ht="14.15" customHeight="1" x14ac:dyDescent="0.6">
      <c r="B356" s="50"/>
      <c r="C356" s="50"/>
      <c r="D356" s="50"/>
      <c r="E356" s="45"/>
      <c r="F356" s="45"/>
      <c r="G356" s="45"/>
      <c r="H356" s="45"/>
      <c r="I356" s="45"/>
      <c r="J356" s="45"/>
      <c r="K356" s="60"/>
      <c r="L356" s="45"/>
      <c r="M356" s="45"/>
      <c r="N356" s="46"/>
      <c r="O356" s="46"/>
      <c r="P356" s="49"/>
      <c r="Q356" s="52"/>
      <c r="R356" s="52"/>
      <c r="S356" s="52"/>
      <c r="T356" s="30"/>
    </row>
    <row r="357" spans="2:20" ht="14.15" customHeight="1" x14ac:dyDescent="0.6">
      <c r="B357" s="50"/>
      <c r="C357" s="50"/>
      <c r="D357" s="50"/>
      <c r="E357" s="45"/>
      <c r="F357" s="45"/>
      <c r="G357" s="45"/>
      <c r="H357" s="45"/>
      <c r="I357" s="45"/>
      <c r="J357" s="45"/>
      <c r="K357" s="60"/>
      <c r="L357" s="45"/>
      <c r="M357" s="45"/>
      <c r="N357" s="46"/>
      <c r="O357" s="46"/>
      <c r="P357" s="49"/>
      <c r="Q357" s="52"/>
      <c r="R357" s="52"/>
      <c r="S357" s="52"/>
      <c r="T357" s="30"/>
    </row>
    <row r="358" spans="2:20" ht="14.15" customHeight="1" x14ac:dyDescent="0.6">
      <c r="B358" s="50"/>
      <c r="C358" s="50"/>
      <c r="D358" s="50"/>
      <c r="E358" s="45"/>
      <c r="F358" s="45"/>
      <c r="G358" s="45"/>
      <c r="H358" s="45"/>
      <c r="I358" s="45"/>
      <c r="J358" s="45"/>
      <c r="K358" s="60"/>
      <c r="L358" s="45"/>
      <c r="M358" s="45"/>
      <c r="N358" s="46"/>
      <c r="O358" s="46"/>
      <c r="P358" s="49"/>
      <c r="Q358" s="52"/>
      <c r="R358" s="52"/>
      <c r="S358" s="52"/>
      <c r="T358" s="30"/>
    </row>
    <row r="359" spans="2:20" ht="14.15" customHeight="1" x14ac:dyDescent="0.6">
      <c r="B359" s="50"/>
      <c r="C359" s="50"/>
      <c r="D359" s="50"/>
      <c r="E359" s="45"/>
      <c r="F359" s="45"/>
      <c r="G359" s="45"/>
      <c r="H359" s="45"/>
      <c r="I359" s="45"/>
      <c r="J359" s="45"/>
      <c r="K359" s="60"/>
      <c r="L359" s="45"/>
      <c r="M359" s="45"/>
      <c r="N359" s="46"/>
      <c r="O359" s="46"/>
      <c r="P359" s="49"/>
      <c r="Q359" s="52"/>
      <c r="R359" s="52"/>
      <c r="S359" s="52"/>
      <c r="T359" s="30"/>
    </row>
    <row r="360" spans="2:20" ht="14.15" customHeight="1" x14ac:dyDescent="0.6">
      <c r="B360" s="50"/>
      <c r="C360" s="50"/>
      <c r="D360" s="50"/>
      <c r="E360" s="45"/>
      <c r="F360" s="45"/>
      <c r="G360" s="45"/>
      <c r="H360" s="45"/>
      <c r="I360" s="45"/>
      <c r="J360" s="45"/>
      <c r="K360" s="60"/>
      <c r="L360" s="45"/>
      <c r="M360" s="45"/>
      <c r="N360" s="46"/>
      <c r="O360" s="46"/>
      <c r="P360" s="49"/>
      <c r="Q360" s="52"/>
      <c r="R360" s="52"/>
      <c r="S360" s="52"/>
      <c r="T360" s="30"/>
    </row>
    <row r="361" spans="2:20" ht="14.15" customHeight="1" x14ac:dyDescent="0.6">
      <c r="B361" s="50"/>
      <c r="C361" s="50"/>
      <c r="D361" s="50"/>
      <c r="E361" s="45"/>
      <c r="F361" s="45"/>
      <c r="G361" s="45"/>
      <c r="H361" s="45"/>
      <c r="I361" s="45"/>
      <c r="J361" s="45"/>
      <c r="K361" s="60"/>
      <c r="L361" s="45"/>
      <c r="M361" s="45"/>
      <c r="N361" s="46"/>
      <c r="O361" s="46"/>
      <c r="P361" s="49"/>
      <c r="Q361" s="52"/>
      <c r="R361" s="52"/>
      <c r="S361" s="52"/>
      <c r="T361" s="30"/>
    </row>
    <row r="362" spans="2:20" ht="14.15" customHeight="1" x14ac:dyDescent="0.6">
      <c r="B362" s="50"/>
      <c r="C362" s="50"/>
      <c r="D362" s="50"/>
      <c r="E362" s="45"/>
      <c r="F362" s="45"/>
      <c r="G362" s="45"/>
      <c r="H362" s="45"/>
      <c r="I362" s="45"/>
      <c r="J362" s="45"/>
      <c r="K362" s="60"/>
      <c r="L362" s="45"/>
      <c r="M362" s="45"/>
      <c r="N362" s="46"/>
      <c r="O362" s="46"/>
      <c r="P362" s="49"/>
      <c r="Q362" s="52"/>
      <c r="R362" s="52"/>
      <c r="S362" s="52"/>
      <c r="T362" s="30"/>
    </row>
    <row r="363" spans="2:20" ht="14.15" customHeight="1" x14ac:dyDescent="0.6">
      <c r="B363" s="50"/>
      <c r="C363" s="50"/>
      <c r="D363" s="50"/>
      <c r="E363" s="45"/>
      <c r="F363" s="45"/>
      <c r="G363" s="45"/>
      <c r="H363" s="45"/>
      <c r="I363" s="45"/>
      <c r="J363" s="45"/>
      <c r="K363" s="60"/>
      <c r="L363" s="45"/>
      <c r="M363" s="45"/>
      <c r="N363" s="46"/>
      <c r="O363" s="46"/>
      <c r="P363" s="49"/>
      <c r="Q363" s="52"/>
      <c r="R363" s="52"/>
      <c r="S363" s="52"/>
      <c r="T363" s="30"/>
    </row>
    <row r="364" spans="2:20" ht="14.15" customHeight="1" x14ac:dyDescent="0.6">
      <c r="B364" s="50"/>
      <c r="C364" s="50"/>
      <c r="D364" s="50"/>
      <c r="E364" s="45"/>
      <c r="F364" s="45"/>
      <c r="G364" s="45"/>
      <c r="H364" s="45"/>
      <c r="I364" s="45"/>
      <c r="J364" s="45"/>
      <c r="K364" s="60"/>
      <c r="L364" s="45"/>
      <c r="M364" s="45"/>
      <c r="N364" s="46"/>
      <c r="O364" s="46"/>
      <c r="P364" s="49"/>
      <c r="Q364" s="52"/>
      <c r="R364" s="52"/>
      <c r="S364" s="52"/>
      <c r="T364" s="30"/>
    </row>
    <row r="365" spans="2:20" ht="14.15" customHeight="1" x14ac:dyDescent="0.6">
      <c r="B365" s="50"/>
      <c r="C365" s="50"/>
      <c r="D365" s="50"/>
      <c r="E365" s="45"/>
      <c r="F365" s="45"/>
      <c r="G365" s="45"/>
      <c r="H365" s="45"/>
      <c r="I365" s="45"/>
      <c r="J365" s="45"/>
      <c r="K365" s="60"/>
      <c r="L365" s="45"/>
      <c r="M365" s="45"/>
      <c r="N365" s="46"/>
      <c r="O365" s="46"/>
      <c r="P365" s="49"/>
      <c r="Q365" s="52"/>
      <c r="R365" s="52"/>
      <c r="S365" s="52"/>
      <c r="T365" s="30"/>
    </row>
    <row r="366" spans="2:20" ht="14.15" customHeight="1" x14ac:dyDescent="0.6">
      <c r="B366" s="50"/>
      <c r="C366" s="50"/>
      <c r="D366" s="50"/>
      <c r="E366" s="45"/>
      <c r="F366" s="45"/>
      <c r="G366" s="45"/>
      <c r="H366" s="45"/>
      <c r="I366" s="45"/>
      <c r="J366" s="45"/>
      <c r="K366" s="60"/>
      <c r="L366" s="45"/>
      <c r="M366" s="45"/>
      <c r="N366" s="46"/>
      <c r="O366" s="46"/>
      <c r="P366" s="49"/>
      <c r="Q366" s="52"/>
      <c r="R366" s="52"/>
      <c r="S366" s="52"/>
      <c r="T366" s="30"/>
    </row>
    <row r="367" spans="2:20" ht="14.15" customHeight="1" x14ac:dyDescent="0.6">
      <c r="B367" s="50"/>
      <c r="C367" s="50"/>
      <c r="D367" s="50"/>
      <c r="E367" s="45"/>
      <c r="F367" s="45"/>
      <c r="G367" s="45"/>
      <c r="H367" s="45"/>
      <c r="I367" s="45"/>
      <c r="J367" s="45"/>
      <c r="K367" s="60"/>
      <c r="L367" s="45"/>
      <c r="M367" s="45"/>
      <c r="N367" s="46"/>
      <c r="O367" s="46"/>
      <c r="P367" s="49"/>
      <c r="Q367" s="52"/>
      <c r="R367" s="52"/>
      <c r="S367" s="52"/>
      <c r="T367" s="30"/>
    </row>
    <row r="368" spans="2:20" ht="14.15" customHeight="1" x14ac:dyDescent="0.6">
      <c r="B368" s="50"/>
      <c r="C368" s="50"/>
      <c r="D368" s="50"/>
      <c r="E368" s="45"/>
      <c r="F368" s="45"/>
      <c r="G368" s="45"/>
      <c r="H368" s="45"/>
      <c r="I368" s="45"/>
      <c r="J368" s="45"/>
      <c r="K368" s="60"/>
      <c r="L368" s="45"/>
      <c r="M368" s="45"/>
      <c r="N368" s="46"/>
      <c r="O368" s="46"/>
      <c r="P368" s="49"/>
      <c r="Q368" s="52"/>
      <c r="R368" s="52"/>
      <c r="S368" s="52"/>
      <c r="T368" s="30"/>
    </row>
    <row r="369" spans="2:20" ht="14.15" customHeight="1" x14ac:dyDescent="0.6">
      <c r="B369" s="50"/>
      <c r="C369" s="50"/>
      <c r="D369" s="50"/>
      <c r="E369" s="45"/>
      <c r="F369" s="45"/>
      <c r="G369" s="45"/>
      <c r="H369" s="45"/>
      <c r="I369" s="45"/>
      <c r="J369" s="45"/>
      <c r="K369" s="60"/>
      <c r="L369" s="45"/>
      <c r="M369" s="45"/>
      <c r="N369" s="46"/>
      <c r="O369" s="46"/>
      <c r="P369" s="49"/>
      <c r="Q369" s="52"/>
      <c r="R369" s="52"/>
      <c r="S369" s="52"/>
      <c r="T369" s="30"/>
    </row>
    <row r="370" spans="2:20" ht="14.15" customHeight="1" x14ac:dyDescent="0.6">
      <c r="B370" s="50"/>
      <c r="C370" s="50"/>
      <c r="D370" s="50"/>
      <c r="E370" s="45"/>
      <c r="F370" s="45"/>
      <c r="G370" s="45"/>
      <c r="H370" s="45"/>
      <c r="I370" s="45"/>
      <c r="J370" s="45"/>
      <c r="K370" s="60"/>
      <c r="L370" s="45"/>
      <c r="M370" s="45"/>
      <c r="N370" s="46"/>
      <c r="O370" s="46"/>
      <c r="P370" s="49"/>
      <c r="Q370" s="52"/>
      <c r="R370" s="52"/>
      <c r="S370" s="52"/>
      <c r="T370" s="30"/>
    </row>
    <row r="371" spans="2:20" ht="14.15" customHeight="1" x14ac:dyDescent="0.6">
      <c r="B371" s="50"/>
      <c r="C371" s="50"/>
      <c r="D371" s="50"/>
      <c r="E371" s="45"/>
      <c r="F371" s="45"/>
      <c r="G371" s="45"/>
      <c r="H371" s="45"/>
      <c r="I371" s="45"/>
      <c r="J371" s="45"/>
      <c r="K371" s="60"/>
      <c r="L371" s="45"/>
      <c r="M371" s="45"/>
      <c r="N371" s="46"/>
      <c r="O371" s="46"/>
      <c r="P371" s="49"/>
      <c r="Q371" s="52"/>
      <c r="R371" s="52"/>
      <c r="S371" s="52"/>
      <c r="T371" s="30"/>
    </row>
    <row r="372" spans="2:20" ht="14.15" customHeight="1" x14ac:dyDescent="0.6">
      <c r="B372" s="50"/>
      <c r="C372" s="50"/>
      <c r="D372" s="50"/>
      <c r="E372" s="45"/>
      <c r="F372" s="45"/>
      <c r="G372" s="45"/>
      <c r="H372" s="45"/>
      <c r="I372" s="45"/>
      <c r="J372" s="45"/>
      <c r="K372" s="60"/>
      <c r="L372" s="45"/>
      <c r="M372" s="45"/>
      <c r="N372" s="46"/>
      <c r="O372" s="46"/>
      <c r="P372" s="49"/>
      <c r="Q372" s="52"/>
      <c r="R372" s="52"/>
      <c r="S372" s="52"/>
      <c r="T372" s="30"/>
    </row>
    <row r="373" spans="2:20" ht="14.15" customHeight="1" x14ac:dyDescent="0.6">
      <c r="B373" s="50"/>
      <c r="C373" s="50"/>
      <c r="D373" s="50"/>
      <c r="E373" s="45"/>
      <c r="F373" s="45"/>
      <c r="G373" s="45"/>
      <c r="H373" s="45"/>
      <c r="I373" s="45"/>
      <c r="J373" s="45"/>
      <c r="K373" s="60"/>
      <c r="L373" s="45"/>
      <c r="M373" s="45"/>
      <c r="N373" s="46"/>
      <c r="O373" s="46"/>
      <c r="P373" s="49"/>
      <c r="Q373" s="52"/>
      <c r="R373" s="52"/>
      <c r="S373" s="52"/>
      <c r="T373" s="30"/>
    </row>
    <row r="374" spans="2:20" ht="14.15" customHeight="1" x14ac:dyDescent="0.6">
      <c r="B374" s="50"/>
      <c r="C374" s="50"/>
      <c r="D374" s="50"/>
      <c r="E374" s="45"/>
      <c r="F374" s="45"/>
      <c r="G374" s="45"/>
      <c r="H374" s="45"/>
      <c r="I374" s="45"/>
      <c r="J374" s="45"/>
      <c r="K374" s="60"/>
      <c r="L374" s="45"/>
      <c r="M374" s="45"/>
      <c r="N374" s="46"/>
      <c r="O374" s="46"/>
      <c r="P374" s="49"/>
      <c r="Q374" s="52"/>
      <c r="R374" s="52"/>
      <c r="S374" s="52"/>
      <c r="T374" s="30"/>
    </row>
    <row r="375" spans="2:20" ht="14.15" customHeight="1" x14ac:dyDescent="0.6">
      <c r="B375" s="50"/>
      <c r="C375" s="50"/>
      <c r="D375" s="50"/>
      <c r="E375" s="45"/>
      <c r="F375" s="45"/>
      <c r="G375" s="45"/>
      <c r="H375" s="45"/>
      <c r="I375" s="45"/>
      <c r="J375" s="45"/>
      <c r="K375" s="60"/>
      <c r="L375" s="45"/>
      <c r="M375" s="45"/>
      <c r="N375" s="46"/>
      <c r="O375" s="46"/>
      <c r="P375" s="49"/>
      <c r="Q375" s="52"/>
      <c r="R375" s="52"/>
      <c r="S375" s="52"/>
      <c r="T375" s="30"/>
    </row>
    <row r="376" spans="2:20" ht="14.15" customHeight="1" x14ac:dyDescent="0.6">
      <c r="B376" s="50"/>
      <c r="C376" s="50"/>
      <c r="D376" s="50"/>
      <c r="E376" s="45"/>
      <c r="F376" s="45"/>
      <c r="G376" s="45"/>
      <c r="H376" s="45"/>
      <c r="I376" s="45"/>
      <c r="J376" s="45"/>
      <c r="K376" s="60"/>
      <c r="L376" s="45"/>
      <c r="M376" s="45"/>
      <c r="N376" s="46"/>
      <c r="O376" s="46"/>
      <c r="P376" s="49"/>
      <c r="Q376" s="52"/>
      <c r="R376" s="52"/>
      <c r="S376" s="52"/>
      <c r="T376" s="30"/>
    </row>
    <row r="377" spans="2:20" ht="14.15" customHeight="1" x14ac:dyDescent="0.6">
      <c r="B377" s="50"/>
      <c r="C377" s="50"/>
      <c r="D377" s="50"/>
      <c r="E377" s="45"/>
      <c r="F377" s="45"/>
      <c r="G377" s="45"/>
      <c r="H377" s="45"/>
      <c r="I377" s="45"/>
      <c r="J377" s="45"/>
      <c r="K377" s="60"/>
      <c r="L377" s="45"/>
      <c r="M377" s="45"/>
      <c r="N377" s="46"/>
      <c r="O377" s="46"/>
      <c r="P377" s="49"/>
      <c r="Q377" s="52"/>
      <c r="R377" s="52"/>
      <c r="S377" s="52"/>
      <c r="T377" s="30"/>
    </row>
    <row r="378" spans="2:20" ht="14.15" customHeight="1" x14ac:dyDescent="0.6">
      <c r="B378" s="50"/>
      <c r="C378" s="50"/>
      <c r="D378" s="50"/>
      <c r="E378" s="45"/>
      <c r="F378" s="45"/>
      <c r="G378" s="45"/>
      <c r="H378" s="45"/>
      <c r="I378" s="45"/>
      <c r="J378" s="45"/>
      <c r="K378" s="60"/>
      <c r="L378" s="45"/>
      <c r="M378" s="45"/>
      <c r="N378" s="46"/>
      <c r="O378" s="46"/>
      <c r="P378" s="49"/>
      <c r="Q378" s="52"/>
      <c r="R378" s="52"/>
      <c r="S378" s="52"/>
      <c r="T378" s="30"/>
    </row>
    <row r="379" spans="2:20" ht="14.15" customHeight="1" x14ac:dyDescent="0.6">
      <c r="B379" s="50"/>
      <c r="C379" s="50"/>
      <c r="D379" s="50"/>
      <c r="E379" s="45"/>
      <c r="F379" s="45"/>
      <c r="G379" s="45"/>
      <c r="H379" s="45"/>
      <c r="I379" s="45"/>
      <c r="J379" s="45"/>
      <c r="K379" s="60"/>
      <c r="L379" s="45"/>
      <c r="M379" s="45"/>
      <c r="N379" s="46"/>
      <c r="O379" s="46"/>
      <c r="P379" s="49"/>
      <c r="Q379" s="52"/>
      <c r="R379" s="52"/>
      <c r="S379" s="52"/>
      <c r="T379" s="30"/>
    </row>
    <row r="380" spans="2:20" ht="14.15" customHeight="1" x14ac:dyDescent="0.6">
      <c r="B380" s="50"/>
      <c r="C380" s="50"/>
      <c r="D380" s="50"/>
      <c r="E380" s="45"/>
      <c r="F380" s="45"/>
      <c r="G380" s="45"/>
      <c r="H380" s="45"/>
      <c r="I380" s="45"/>
      <c r="J380" s="45"/>
      <c r="K380" s="60"/>
      <c r="L380" s="45"/>
      <c r="M380" s="45"/>
      <c r="N380" s="46"/>
      <c r="O380" s="46"/>
      <c r="P380" s="49"/>
      <c r="Q380" s="52"/>
      <c r="R380" s="52"/>
      <c r="S380" s="52"/>
      <c r="T380" s="30"/>
    </row>
    <row r="381" spans="2:20" ht="14.15" customHeight="1" x14ac:dyDescent="0.6">
      <c r="B381" s="50"/>
      <c r="C381" s="50"/>
      <c r="D381" s="50"/>
      <c r="E381" s="45"/>
      <c r="F381" s="45"/>
      <c r="G381" s="45"/>
      <c r="H381" s="45"/>
      <c r="I381" s="45"/>
      <c r="J381" s="45"/>
      <c r="K381" s="60"/>
      <c r="L381" s="45"/>
      <c r="M381" s="45"/>
      <c r="N381" s="46"/>
      <c r="O381" s="46"/>
      <c r="P381" s="49"/>
      <c r="Q381" s="52"/>
      <c r="R381" s="52"/>
      <c r="S381" s="52"/>
      <c r="T381" s="30"/>
    </row>
    <row r="382" spans="2:20" ht="14.15" customHeight="1" x14ac:dyDescent="0.6">
      <c r="B382" s="50"/>
      <c r="C382" s="50"/>
      <c r="D382" s="50"/>
      <c r="E382" s="45"/>
      <c r="F382" s="45"/>
      <c r="G382" s="45"/>
      <c r="H382" s="45"/>
      <c r="I382" s="45"/>
      <c r="J382" s="45"/>
      <c r="K382" s="60"/>
      <c r="L382" s="45"/>
      <c r="M382" s="45"/>
      <c r="N382" s="46"/>
      <c r="O382" s="46"/>
      <c r="P382" s="49"/>
      <c r="Q382" s="52"/>
      <c r="R382" s="52"/>
      <c r="S382" s="52"/>
      <c r="T382" s="30"/>
    </row>
    <row r="383" spans="2:20" ht="14.15" customHeight="1" x14ac:dyDescent="0.6">
      <c r="B383" s="50"/>
      <c r="C383" s="50"/>
      <c r="D383" s="50"/>
      <c r="E383" s="45"/>
      <c r="F383" s="45"/>
      <c r="G383" s="45"/>
      <c r="H383" s="45"/>
      <c r="I383" s="45"/>
      <c r="J383" s="45"/>
      <c r="K383" s="60"/>
      <c r="L383" s="45"/>
      <c r="M383" s="45"/>
      <c r="N383" s="46"/>
      <c r="O383" s="46"/>
      <c r="P383" s="49"/>
      <c r="Q383" s="52"/>
      <c r="R383" s="52"/>
      <c r="S383" s="52"/>
      <c r="T383" s="30"/>
    </row>
    <row r="384" spans="2:20" ht="14.15" customHeight="1" x14ac:dyDescent="0.6">
      <c r="B384" s="50"/>
      <c r="C384" s="50"/>
      <c r="D384" s="50"/>
      <c r="E384" s="45"/>
      <c r="F384" s="45"/>
      <c r="G384" s="45"/>
      <c r="H384" s="45"/>
      <c r="I384" s="45"/>
      <c r="J384" s="45"/>
      <c r="K384" s="60"/>
      <c r="L384" s="45"/>
      <c r="M384" s="45"/>
      <c r="N384" s="46"/>
      <c r="O384" s="46"/>
      <c r="P384" s="49"/>
      <c r="Q384" s="52"/>
      <c r="R384" s="52"/>
      <c r="S384" s="52"/>
      <c r="T384" s="30"/>
    </row>
    <row r="385" spans="2:20" ht="14.15" customHeight="1" x14ac:dyDescent="0.6">
      <c r="B385" s="50"/>
      <c r="C385" s="50"/>
      <c r="D385" s="50"/>
      <c r="E385" s="45"/>
      <c r="F385" s="45"/>
      <c r="G385" s="45"/>
      <c r="H385" s="45"/>
      <c r="I385" s="45"/>
      <c r="J385" s="45"/>
      <c r="K385" s="60"/>
      <c r="L385" s="45"/>
      <c r="M385" s="45"/>
      <c r="N385" s="46"/>
      <c r="O385" s="46"/>
      <c r="P385" s="49"/>
      <c r="Q385" s="52"/>
      <c r="R385" s="52"/>
      <c r="S385" s="52"/>
      <c r="T385" s="30"/>
    </row>
    <row r="386" spans="2:20" ht="14.15" customHeight="1" x14ac:dyDescent="0.6">
      <c r="B386" s="50"/>
      <c r="C386" s="50"/>
      <c r="D386" s="50"/>
      <c r="E386" s="45"/>
      <c r="F386" s="45"/>
      <c r="G386" s="45"/>
      <c r="H386" s="45"/>
      <c r="I386" s="45"/>
      <c r="J386" s="45"/>
      <c r="K386" s="60"/>
      <c r="L386" s="45"/>
      <c r="M386" s="45"/>
      <c r="N386" s="46"/>
      <c r="O386" s="46"/>
      <c r="P386" s="49"/>
      <c r="Q386" s="52"/>
      <c r="R386" s="52"/>
      <c r="S386" s="52"/>
      <c r="T386" s="30"/>
    </row>
    <row r="387" spans="2:20" ht="14.15" customHeight="1" x14ac:dyDescent="0.6">
      <c r="B387" s="50"/>
      <c r="C387" s="50"/>
      <c r="D387" s="50"/>
      <c r="E387" s="45"/>
      <c r="F387" s="45"/>
      <c r="G387" s="45"/>
      <c r="H387" s="45"/>
      <c r="I387" s="45"/>
      <c r="J387" s="45"/>
      <c r="K387" s="60"/>
      <c r="L387" s="45"/>
      <c r="M387" s="45"/>
      <c r="N387" s="46"/>
      <c r="O387" s="46"/>
      <c r="P387" s="49"/>
      <c r="Q387" s="52"/>
      <c r="R387" s="52"/>
      <c r="S387" s="52"/>
      <c r="T387" s="30"/>
    </row>
    <row r="388" spans="2:20" ht="14.15" customHeight="1" x14ac:dyDescent="0.6">
      <c r="B388" s="50"/>
      <c r="C388" s="50"/>
      <c r="D388" s="50"/>
      <c r="E388" s="45"/>
      <c r="F388" s="45"/>
      <c r="G388" s="45"/>
      <c r="H388" s="45"/>
      <c r="I388" s="45"/>
      <c r="J388" s="45"/>
      <c r="K388" s="60"/>
      <c r="L388" s="45"/>
      <c r="M388" s="45"/>
      <c r="N388" s="46"/>
      <c r="O388" s="46"/>
      <c r="P388" s="49"/>
      <c r="Q388" s="52"/>
      <c r="R388" s="52"/>
      <c r="S388" s="52"/>
      <c r="T388" s="30"/>
    </row>
    <row r="389" spans="2:20" ht="14.15" customHeight="1" x14ac:dyDescent="0.6">
      <c r="B389" s="50"/>
      <c r="C389" s="50"/>
      <c r="D389" s="50"/>
      <c r="E389" s="45"/>
      <c r="F389" s="45"/>
      <c r="G389" s="45"/>
      <c r="H389" s="45"/>
      <c r="I389" s="45"/>
      <c r="J389" s="45"/>
      <c r="K389" s="60"/>
      <c r="L389" s="45"/>
      <c r="M389" s="45"/>
      <c r="N389" s="46"/>
      <c r="O389" s="46"/>
      <c r="P389" s="49"/>
      <c r="Q389" s="52"/>
      <c r="R389" s="52"/>
      <c r="S389" s="52"/>
      <c r="T389" s="30"/>
    </row>
    <row r="390" spans="2:20" ht="14.15" customHeight="1" x14ac:dyDescent="0.6">
      <c r="B390" s="50"/>
      <c r="C390" s="50"/>
      <c r="D390" s="50"/>
      <c r="E390" s="45"/>
      <c r="F390" s="45"/>
      <c r="G390" s="45"/>
      <c r="H390" s="45"/>
      <c r="I390" s="45"/>
      <c r="J390" s="45"/>
      <c r="K390" s="60"/>
      <c r="L390" s="45"/>
      <c r="M390" s="45"/>
      <c r="N390" s="46"/>
      <c r="O390" s="46"/>
      <c r="P390" s="49"/>
      <c r="Q390" s="52"/>
      <c r="R390" s="52"/>
      <c r="S390" s="52"/>
      <c r="T390" s="30"/>
    </row>
    <row r="391" spans="2:20" ht="14.15" customHeight="1" x14ac:dyDescent="0.6">
      <c r="B391" s="50"/>
      <c r="C391" s="50"/>
      <c r="D391" s="50"/>
      <c r="E391" s="45"/>
      <c r="F391" s="45"/>
      <c r="G391" s="45"/>
      <c r="H391" s="45"/>
      <c r="I391" s="45"/>
      <c r="J391" s="45"/>
      <c r="K391" s="60"/>
      <c r="L391" s="45"/>
      <c r="M391" s="45"/>
      <c r="N391" s="46"/>
      <c r="O391" s="46"/>
      <c r="P391" s="49"/>
      <c r="Q391" s="52"/>
      <c r="R391" s="52"/>
      <c r="S391" s="52"/>
      <c r="T391" s="30"/>
    </row>
    <row r="392" spans="2:20" ht="14.15" customHeight="1" x14ac:dyDescent="0.6">
      <c r="B392" s="50"/>
      <c r="C392" s="50"/>
      <c r="D392" s="50"/>
      <c r="E392" s="45"/>
      <c r="F392" s="45"/>
      <c r="G392" s="45"/>
      <c r="H392" s="45"/>
      <c r="I392" s="45"/>
      <c r="J392" s="45"/>
      <c r="K392" s="60"/>
      <c r="L392" s="45"/>
      <c r="M392" s="45"/>
      <c r="N392" s="46"/>
      <c r="O392" s="46"/>
      <c r="P392" s="49"/>
      <c r="Q392" s="52"/>
      <c r="R392" s="52"/>
      <c r="S392" s="52"/>
      <c r="T392" s="30"/>
    </row>
    <row r="393" spans="2:20" ht="14.15" customHeight="1" x14ac:dyDescent="0.6">
      <c r="B393" s="50"/>
      <c r="C393" s="50"/>
      <c r="D393" s="50"/>
      <c r="E393" s="45"/>
      <c r="F393" s="45"/>
      <c r="G393" s="45"/>
      <c r="H393" s="45"/>
      <c r="I393" s="45"/>
      <c r="J393" s="45"/>
      <c r="K393" s="60"/>
      <c r="L393" s="45"/>
      <c r="M393" s="45"/>
      <c r="N393" s="46"/>
      <c r="O393" s="46"/>
      <c r="P393" s="49"/>
      <c r="Q393" s="52"/>
      <c r="R393" s="52"/>
      <c r="S393" s="52"/>
      <c r="T393" s="30"/>
    </row>
    <row r="394" spans="2:20" ht="14.15" customHeight="1" x14ac:dyDescent="0.6">
      <c r="B394" s="50"/>
      <c r="C394" s="50"/>
      <c r="D394" s="50"/>
      <c r="E394" s="45"/>
      <c r="F394" s="45"/>
      <c r="G394" s="45"/>
      <c r="H394" s="45"/>
      <c r="I394" s="45"/>
      <c r="J394" s="45"/>
      <c r="K394" s="60"/>
      <c r="L394" s="45"/>
      <c r="M394" s="45"/>
      <c r="N394" s="46"/>
      <c r="O394" s="46"/>
      <c r="P394" s="49"/>
      <c r="Q394" s="52"/>
      <c r="R394" s="52"/>
      <c r="S394" s="52"/>
      <c r="T394" s="30"/>
    </row>
    <row r="395" spans="2:20" ht="14.15" customHeight="1" x14ac:dyDescent="0.6">
      <c r="B395" s="50"/>
      <c r="C395" s="50"/>
      <c r="D395" s="50"/>
      <c r="E395" s="45"/>
      <c r="F395" s="45"/>
      <c r="G395" s="45"/>
      <c r="H395" s="45"/>
      <c r="I395" s="45"/>
      <c r="J395" s="45"/>
      <c r="K395" s="60"/>
      <c r="L395" s="45"/>
      <c r="M395" s="45"/>
      <c r="N395" s="46"/>
      <c r="O395" s="46"/>
      <c r="P395" s="49"/>
      <c r="Q395" s="52"/>
      <c r="R395" s="52"/>
      <c r="S395" s="52"/>
      <c r="T395" s="30"/>
    </row>
    <row r="396" spans="2:20" ht="14.15" customHeight="1" x14ac:dyDescent="0.6">
      <c r="B396" s="50"/>
      <c r="C396" s="50"/>
      <c r="D396" s="50"/>
      <c r="E396" s="45"/>
      <c r="F396" s="45"/>
      <c r="G396" s="45"/>
      <c r="H396" s="45"/>
      <c r="I396" s="45"/>
      <c r="J396" s="45"/>
      <c r="K396" s="60"/>
      <c r="L396" s="45"/>
      <c r="M396" s="45"/>
      <c r="N396" s="46"/>
      <c r="O396" s="46"/>
      <c r="P396" s="49"/>
      <c r="Q396" s="52"/>
      <c r="R396" s="52"/>
      <c r="S396" s="52"/>
      <c r="T396" s="30"/>
    </row>
    <row r="397" spans="2:20" ht="14.15" customHeight="1" x14ac:dyDescent="0.6">
      <c r="B397" s="50"/>
      <c r="C397" s="50"/>
      <c r="D397" s="50"/>
      <c r="E397" s="45"/>
      <c r="F397" s="45"/>
      <c r="G397" s="45"/>
      <c r="H397" s="45"/>
      <c r="I397" s="45"/>
      <c r="J397" s="45"/>
      <c r="K397" s="60"/>
      <c r="L397" s="45"/>
      <c r="M397" s="45"/>
      <c r="N397" s="46"/>
      <c r="O397" s="46"/>
      <c r="P397" s="49"/>
      <c r="Q397" s="52"/>
      <c r="R397" s="52"/>
      <c r="S397" s="52"/>
      <c r="T397" s="30"/>
    </row>
    <row r="398" spans="2:20" ht="14.15" customHeight="1" x14ac:dyDescent="0.6">
      <c r="B398" s="50"/>
      <c r="C398" s="50"/>
      <c r="D398" s="50"/>
      <c r="E398" s="45"/>
      <c r="F398" s="45"/>
      <c r="G398" s="45"/>
      <c r="H398" s="45"/>
      <c r="I398" s="45"/>
      <c r="J398" s="45"/>
      <c r="K398" s="60"/>
      <c r="L398" s="45"/>
      <c r="M398" s="45"/>
      <c r="N398" s="46"/>
      <c r="O398" s="46"/>
      <c r="P398" s="49"/>
      <c r="Q398" s="52"/>
      <c r="R398" s="52"/>
      <c r="S398" s="52"/>
      <c r="T398" s="30"/>
    </row>
    <row r="399" spans="2:20" ht="14.15" customHeight="1" x14ac:dyDescent="0.6">
      <c r="B399" s="50"/>
      <c r="C399" s="50"/>
      <c r="D399" s="50"/>
      <c r="E399" s="45"/>
      <c r="F399" s="45"/>
      <c r="G399" s="45"/>
      <c r="H399" s="45"/>
      <c r="I399" s="45"/>
      <c r="J399" s="45"/>
      <c r="K399" s="60"/>
      <c r="L399" s="45"/>
      <c r="M399" s="45"/>
      <c r="N399" s="46"/>
      <c r="O399" s="46"/>
      <c r="P399" s="49"/>
      <c r="Q399" s="52"/>
      <c r="R399" s="52"/>
      <c r="S399" s="52"/>
      <c r="T399" s="30"/>
    </row>
    <row r="400" spans="2:20" ht="14.15" customHeight="1" x14ac:dyDescent="0.6">
      <c r="B400" s="50"/>
      <c r="C400" s="50"/>
      <c r="D400" s="50"/>
      <c r="E400" s="45"/>
      <c r="F400" s="45"/>
      <c r="G400" s="45"/>
      <c r="H400" s="45"/>
      <c r="I400" s="45"/>
      <c r="J400" s="45"/>
      <c r="K400" s="60"/>
      <c r="L400" s="45"/>
      <c r="M400" s="45"/>
      <c r="N400" s="46"/>
      <c r="O400" s="46"/>
      <c r="P400" s="49"/>
      <c r="Q400" s="52"/>
      <c r="R400" s="52"/>
      <c r="S400" s="52"/>
      <c r="T400" s="30"/>
    </row>
    <row r="401" spans="2:20" ht="14.15" customHeight="1" x14ac:dyDescent="0.6">
      <c r="B401" s="50"/>
      <c r="C401" s="50"/>
      <c r="D401" s="50"/>
      <c r="E401" s="45"/>
      <c r="F401" s="45"/>
      <c r="G401" s="45"/>
      <c r="H401" s="45"/>
      <c r="I401" s="45"/>
      <c r="J401" s="45"/>
      <c r="K401" s="60"/>
      <c r="L401" s="45"/>
      <c r="M401" s="45"/>
      <c r="N401" s="46"/>
      <c r="O401" s="46"/>
      <c r="P401" s="49"/>
      <c r="Q401" s="52"/>
      <c r="R401" s="52"/>
      <c r="S401" s="52"/>
      <c r="T401" s="30"/>
    </row>
    <row r="402" spans="2:20" ht="14.15" customHeight="1" x14ac:dyDescent="0.6">
      <c r="B402" s="50"/>
      <c r="C402" s="50"/>
      <c r="D402" s="50"/>
      <c r="E402" s="45"/>
      <c r="F402" s="45"/>
      <c r="G402" s="45"/>
      <c r="H402" s="45"/>
      <c r="I402" s="45"/>
      <c r="J402" s="45"/>
      <c r="K402" s="60"/>
      <c r="L402" s="45"/>
      <c r="M402" s="45"/>
      <c r="N402" s="46"/>
      <c r="O402" s="46"/>
      <c r="P402" s="49"/>
      <c r="Q402" s="52"/>
      <c r="R402" s="52"/>
      <c r="S402" s="52"/>
      <c r="T402" s="30"/>
    </row>
    <row r="403" spans="2:20" ht="14.15" customHeight="1" x14ac:dyDescent="0.6">
      <c r="B403" s="50"/>
      <c r="C403" s="50"/>
      <c r="D403" s="50"/>
      <c r="E403" s="45"/>
      <c r="F403" s="45"/>
      <c r="G403" s="45"/>
      <c r="H403" s="45"/>
      <c r="I403" s="45"/>
      <c r="J403" s="45"/>
      <c r="K403" s="60"/>
      <c r="L403" s="45"/>
      <c r="M403" s="45"/>
      <c r="N403" s="46"/>
      <c r="O403" s="46"/>
      <c r="P403" s="49"/>
      <c r="Q403" s="52"/>
      <c r="R403" s="52"/>
      <c r="S403" s="52"/>
      <c r="T403" s="30"/>
    </row>
    <row r="404" spans="2:20" ht="14.15" customHeight="1" x14ac:dyDescent="0.6">
      <c r="B404" s="50"/>
      <c r="C404" s="50"/>
      <c r="D404" s="50"/>
      <c r="E404" s="45"/>
      <c r="F404" s="45"/>
      <c r="G404" s="45"/>
      <c r="H404" s="45"/>
      <c r="I404" s="45"/>
      <c r="J404" s="45"/>
      <c r="K404" s="60"/>
      <c r="L404" s="45"/>
      <c r="M404" s="45"/>
      <c r="N404" s="46"/>
      <c r="O404" s="46"/>
      <c r="P404" s="49"/>
      <c r="Q404" s="52"/>
      <c r="R404" s="52"/>
      <c r="S404" s="52"/>
      <c r="T404" s="30"/>
    </row>
    <row r="405" spans="2:20" ht="14.15" customHeight="1" x14ac:dyDescent="0.6">
      <c r="B405" s="50"/>
      <c r="C405" s="50"/>
      <c r="D405" s="50"/>
      <c r="E405" s="45"/>
      <c r="F405" s="45"/>
      <c r="G405" s="45"/>
      <c r="H405" s="45"/>
      <c r="I405" s="45"/>
      <c r="J405" s="45"/>
      <c r="K405" s="60"/>
      <c r="L405" s="45"/>
      <c r="M405" s="45"/>
      <c r="N405" s="46"/>
      <c r="O405" s="46"/>
      <c r="P405" s="49"/>
      <c r="Q405" s="52"/>
      <c r="R405" s="52"/>
      <c r="S405" s="52"/>
      <c r="T405" s="30"/>
    </row>
    <row r="406" spans="2:20" ht="14.15" customHeight="1" x14ac:dyDescent="0.6">
      <c r="B406" s="50"/>
      <c r="C406" s="50"/>
      <c r="D406" s="50"/>
      <c r="E406" s="45"/>
      <c r="F406" s="45"/>
      <c r="G406" s="45"/>
      <c r="H406" s="45"/>
      <c r="I406" s="45"/>
      <c r="J406" s="45"/>
      <c r="K406" s="60"/>
      <c r="L406" s="45"/>
      <c r="M406" s="45"/>
      <c r="N406" s="46"/>
      <c r="O406" s="46"/>
      <c r="P406" s="49"/>
      <c r="Q406" s="52"/>
      <c r="R406" s="52"/>
      <c r="S406" s="52"/>
      <c r="T406" s="30"/>
    </row>
    <row r="407" spans="2:20" ht="14.15" customHeight="1" x14ac:dyDescent="0.6">
      <c r="B407" s="50"/>
      <c r="C407" s="50"/>
      <c r="D407" s="50"/>
      <c r="E407" s="45"/>
      <c r="F407" s="45"/>
      <c r="G407" s="45"/>
      <c r="H407" s="45"/>
      <c r="I407" s="45"/>
      <c r="J407" s="45"/>
      <c r="K407" s="60"/>
      <c r="L407" s="45"/>
      <c r="M407" s="45"/>
      <c r="N407" s="46"/>
      <c r="O407" s="46"/>
      <c r="P407" s="49"/>
      <c r="Q407" s="52"/>
      <c r="R407" s="52"/>
      <c r="S407" s="52"/>
      <c r="T407" s="30"/>
    </row>
    <row r="408" spans="2:20" ht="14.15" customHeight="1" x14ac:dyDescent="0.6">
      <c r="B408" s="50"/>
      <c r="C408" s="50"/>
      <c r="D408" s="50"/>
      <c r="E408" s="45"/>
      <c r="F408" s="45"/>
      <c r="G408" s="45"/>
      <c r="H408" s="45"/>
      <c r="I408" s="45"/>
      <c r="J408" s="45"/>
      <c r="K408" s="60"/>
      <c r="L408" s="45"/>
      <c r="M408" s="45"/>
      <c r="N408" s="46"/>
      <c r="O408" s="46"/>
      <c r="P408" s="49"/>
      <c r="Q408" s="52"/>
      <c r="R408" s="52"/>
      <c r="S408" s="52"/>
      <c r="T408" s="30"/>
    </row>
    <row r="409" spans="2:20" ht="14.15" customHeight="1" x14ac:dyDescent="0.6">
      <c r="B409" s="50"/>
      <c r="C409" s="50"/>
      <c r="D409" s="50"/>
      <c r="E409" s="45"/>
      <c r="F409" s="45"/>
      <c r="G409" s="45"/>
      <c r="H409" s="45"/>
      <c r="I409" s="45"/>
      <c r="J409" s="45"/>
      <c r="K409" s="60"/>
      <c r="L409" s="45"/>
      <c r="M409" s="45"/>
      <c r="N409" s="46"/>
      <c r="O409" s="46"/>
      <c r="P409" s="49"/>
      <c r="Q409" s="52"/>
      <c r="R409" s="52"/>
      <c r="S409" s="52"/>
      <c r="T409" s="30"/>
    </row>
    <row r="410" spans="2:20" ht="14.15" customHeight="1" x14ac:dyDescent="0.6">
      <c r="B410" s="50"/>
      <c r="C410" s="50"/>
      <c r="D410" s="50"/>
      <c r="E410" s="45"/>
      <c r="F410" s="45"/>
      <c r="G410" s="45"/>
      <c r="H410" s="45"/>
      <c r="I410" s="45"/>
      <c r="J410" s="45"/>
      <c r="K410" s="60"/>
      <c r="L410" s="45"/>
      <c r="M410" s="45"/>
      <c r="N410" s="46"/>
      <c r="O410" s="46"/>
      <c r="P410" s="49"/>
      <c r="Q410" s="52"/>
      <c r="R410" s="52"/>
      <c r="S410" s="52"/>
      <c r="T410" s="30"/>
    </row>
    <row r="411" spans="2:20" ht="14.15" customHeight="1" x14ac:dyDescent="0.6">
      <c r="B411" s="50"/>
      <c r="C411" s="50"/>
      <c r="D411" s="50"/>
      <c r="E411" s="45"/>
      <c r="F411" s="45"/>
      <c r="G411" s="45"/>
      <c r="H411" s="45"/>
      <c r="I411" s="45"/>
      <c r="J411" s="45"/>
      <c r="K411" s="60"/>
      <c r="L411" s="45"/>
      <c r="M411" s="45"/>
      <c r="N411" s="46"/>
      <c r="O411" s="46"/>
      <c r="P411" s="49"/>
      <c r="Q411" s="52"/>
      <c r="R411" s="52"/>
      <c r="S411" s="52"/>
      <c r="T411" s="30"/>
    </row>
    <row r="412" spans="2:20" ht="14.15" customHeight="1" x14ac:dyDescent="0.6">
      <c r="B412" s="50"/>
      <c r="C412" s="50"/>
      <c r="D412" s="50"/>
      <c r="E412" s="45"/>
      <c r="F412" s="45"/>
      <c r="G412" s="45"/>
      <c r="H412" s="45"/>
      <c r="I412" s="45"/>
      <c r="J412" s="45"/>
      <c r="K412" s="60"/>
      <c r="L412" s="45"/>
      <c r="M412" s="45"/>
      <c r="N412" s="46"/>
      <c r="O412" s="46"/>
      <c r="P412" s="49"/>
      <c r="Q412" s="52"/>
      <c r="R412" s="52"/>
      <c r="S412" s="52"/>
      <c r="T412" s="30"/>
    </row>
    <row r="413" spans="2:20" ht="14.15" customHeight="1" x14ac:dyDescent="0.6">
      <c r="B413" s="50"/>
      <c r="C413" s="50"/>
      <c r="D413" s="50"/>
      <c r="E413" s="45"/>
      <c r="F413" s="45"/>
      <c r="G413" s="45"/>
      <c r="H413" s="45"/>
      <c r="I413" s="45"/>
      <c r="J413" s="45"/>
      <c r="K413" s="60"/>
      <c r="L413" s="45"/>
      <c r="M413" s="45"/>
      <c r="N413" s="46"/>
      <c r="O413" s="46"/>
      <c r="P413" s="49"/>
      <c r="Q413" s="52"/>
      <c r="R413" s="52"/>
      <c r="S413" s="52"/>
      <c r="T413" s="30"/>
    </row>
    <row r="414" spans="2:20" ht="14.15" customHeight="1" x14ac:dyDescent="0.6">
      <c r="B414" s="50"/>
      <c r="C414" s="50"/>
      <c r="D414" s="50"/>
      <c r="E414" s="45"/>
      <c r="F414" s="45"/>
      <c r="G414" s="45"/>
      <c r="H414" s="45"/>
      <c r="I414" s="45"/>
      <c r="J414" s="45"/>
      <c r="K414" s="60"/>
      <c r="L414" s="45"/>
      <c r="M414" s="45"/>
      <c r="N414" s="46"/>
      <c r="O414" s="46"/>
      <c r="P414" s="49"/>
      <c r="Q414" s="52"/>
      <c r="R414" s="52"/>
      <c r="S414" s="52"/>
      <c r="T414" s="30"/>
    </row>
    <row r="415" spans="2:20" ht="14.15" customHeight="1" x14ac:dyDescent="0.6">
      <c r="B415" s="50"/>
      <c r="C415" s="50"/>
      <c r="D415" s="50"/>
      <c r="E415" s="45"/>
      <c r="F415" s="45"/>
      <c r="G415" s="45"/>
      <c r="H415" s="45"/>
      <c r="I415" s="45"/>
      <c r="J415" s="45"/>
      <c r="K415" s="60"/>
      <c r="L415" s="45"/>
      <c r="M415" s="45"/>
      <c r="N415" s="46"/>
      <c r="O415" s="46"/>
      <c r="P415" s="49"/>
      <c r="Q415" s="52"/>
      <c r="R415" s="52"/>
      <c r="S415" s="52"/>
      <c r="T415" s="30"/>
    </row>
    <row r="416" spans="2:20" ht="14.15" customHeight="1" x14ac:dyDescent="0.6">
      <c r="B416" s="50"/>
      <c r="C416" s="50"/>
      <c r="D416" s="50"/>
      <c r="E416" s="45"/>
      <c r="F416" s="45"/>
      <c r="G416" s="45"/>
      <c r="H416" s="45"/>
      <c r="I416" s="45"/>
      <c r="J416" s="45"/>
      <c r="K416" s="60"/>
      <c r="L416" s="45"/>
      <c r="M416" s="45"/>
      <c r="N416" s="46"/>
      <c r="O416" s="46"/>
      <c r="P416" s="49"/>
      <c r="Q416" s="52"/>
      <c r="R416" s="52"/>
      <c r="S416" s="52"/>
      <c r="T416" s="30"/>
    </row>
    <row r="417" spans="2:20" ht="14.15" customHeight="1" x14ac:dyDescent="0.6">
      <c r="B417" s="50"/>
      <c r="C417" s="50"/>
      <c r="D417" s="50"/>
      <c r="E417" s="45"/>
      <c r="F417" s="45"/>
      <c r="G417" s="45"/>
      <c r="H417" s="45"/>
      <c r="I417" s="45"/>
      <c r="J417" s="45"/>
      <c r="K417" s="60"/>
      <c r="L417" s="45"/>
      <c r="M417" s="45"/>
      <c r="N417" s="46"/>
      <c r="O417" s="46"/>
      <c r="P417" s="49"/>
      <c r="Q417" s="52"/>
      <c r="R417" s="52"/>
      <c r="S417" s="52"/>
      <c r="T417" s="30"/>
    </row>
    <row r="418" spans="2:20" ht="14.15" customHeight="1" x14ac:dyDescent="0.6">
      <c r="B418" s="50"/>
      <c r="C418" s="50"/>
      <c r="D418" s="50"/>
      <c r="E418" s="45"/>
      <c r="F418" s="45"/>
      <c r="G418" s="45"/>
      <c r="H418" s="45"/>
      <c r="I418" s="45"/>
      <c r="J418" s="45"/>
      <c r="K418" s="60"/>
      <c r="L418" s="45"/>
      <c r="M418" s="45"/>
      <c r="N418" s="46"/>
      <c r="O418" s="46"/>
      <c r="P418" s="49"/>
      <c r="Q418" s="52"/>
      <c r="R418" s="52"/>
      <c r="S418" s="52"/>
      <c r="T418" s="30"/>
    </row>
    <row r="419" spans="2:20" ht="14.15" customHeight="1" x14ac:dyDescent="0.6">
      <c r="B419" s="50"/>
      <c r="C419" s="50"/>
      <c r="D419" s="50"/>
      <c r="E419" s="45"/>
      <c r="F419" s="45"/>
      <c r="G419" s="45"/>
      <c r="H419" s="45"/>
      <c r="I419" s="45"/>
      <c r="J419" s="45"/>
      <c r="K419" s="60"/>
      <c r="L419" s="45"/>
      <c r="M419" s="45"/>
      <c r="N419" s="46"/>
      <c r="O419" s="46"/>
      <c r="P419" s="49"/>
      <c r="Q419" s="52"/>
      <c r="R419" s="52"/>
      <c r="S419" s="52"/>
      <c r="T419" s="30"/>
    </row>
    <row r="420" spans="2:20" ht="14.15" customHeight="1" x14ac:dyDescent="0.6">
      <c r="B420" s="50"/>
      <c r="C420" s="50"/>
      <c r="D420" s="50"/>
      <c r="E420" s="45"/>
      <c r="F420" s="45"/>
      <c r="G420" s="45"/>
      <c r="H420" s="45"/>
      <c r="I420" s="45"/>
      <c r="J420" s="45"/>
      <c r="K420" s="60"/>
      <c r="L420" s="45"/>
      <c r="M420" s="45"/>
      <c r="N420" s="46"/>
      <c r="O420" s="46"/>
      <c r="P420" s="49"/>
      <c r="Q420" s="52"/>
      <c r="R420" s="52"/>
      <c r="S420" s="52"/>
      <c r="T420" s="30"/>
    </row>
    <row r="421" spans="2:20" ht="14.15" customHeight="1" x14ac:dyDescent="0.6">
      <c r="B421" s="50"/>
      <c r="C421" s="50"/>
      <c r="D421" s="50"/>
      <c r="E421" s="45"/>
      <c r="F421" s="45"/>
      <c r="G421" s="45"/>
      <c r="H421" s="45"/>
      <c r="I421" s="45"/>
      <c r="J421" s="45"/>
      <c r="K421" s="60"/>
      <c r="L421" s="45"/>
      <c r="M421" s="45"/>
      <c r="N421" s="46"/>
      <c r="O421" s="46"/>
      <c r="P421" s="49"/>
      <c r="Q421" s="52"/>
      <c r="R421" s="52"/>
      <c r="S421" s="52"/>
      <c r="T421" s="30"/>
    </row>
    <row r="422" spans="2:20" ht="14.15" customHeight="1" x14ac:dyDescent="0.6">
      <c r="B422" s="50"/>
      <c r="C422" s="50"/>
      <c r="D422" s="50"/>
      <c r="E422" s="45"/>
      <c r="F422" s="45"/>
      <c r="G422" s="45"/>
      <c r="H422" s="45"/>
      <c r="I422" s="45"/>
      <c r="J422" s="45"/>
      <c r="K422" s="60"/>
      <c r="L422" s="45"/>
      <c r="M422" s="45"/>
      <c r="N422" s="46"/>
      <c r="O422" s="46"/>
      <c r="P422" s="49"/>
      <c r="Q422" s="52"/>
      <c r="R422" s="52"/>
      <c r="S422" s="52"/>
      <c r="T422" s="30"/>
    </row>
    <row r="423" spans="2:20" ht="14.15" customHeight="1" x14ac:dyDescent="0.6">
      <c r="B423" s="50"/>
      <c r="C423" s="50"/>
      <c r="D423" s="50"/>
      <c r="E423" s="45"/>
      <c r="F423" s="45"/>
      <c r="G423" s="45"/>
      <c r="H423" s="45"/>
      <c r="I423" s="45"/>
      <c r="J423" s="45"/>
      <c r="K423" s="60"/>
      <c r="L423" s="45"/>
      <c r="M423" s="45"/>
      <c r="N423" s="46"/>
      <c r="O423" s="46"/>
      <c r="P423" s="49"/>
      <c r="Q423" s="52"/>
      <c r="R423" s="52"/>
      <c r="S423" s="52"/>
      <c r="T423" s="30"/>
    </row>
    <row r="424" spans="2:20" ht="14.15" customHeight="1" x14ac:dyDescent="0.6">
      <c r="B424" s="50"/>
      <c r="C424" s="50"/>
      <c r="D424" s="50"/>
      <c r="E424" s="45"/>
      <c r="F424" s="45"/>
      <c r="G424" s="45"/>
      <c r="H424" s="45"/>
      <c r="I424" s="45"/>
      <c r="J424" s="45"/>
      <c r="K424" s="60"/>
      <c r="L424" s="45"/>
      <c r="M424" s="45"/>
      <c r="N424" s="46"/>
      <c r="O424" s="46"/>
      <c r="P424" s="49"/>
      <c r="Q424" s="52"/>
      <c r="R424" s="52"/>
      <c r="S424" s="52"/>
      <c r="T424" s="30"/>
    </row>
    <row r="425" spans="2:20" ht="14.15" customHeight="1" x14ac:dyDescent="0.6">
      <c r="B425" s="50"/>
      <c r="C425" s="50"/>
      <c r="D425" s="50"/>
      <c r="E425" s="45"/>
      <c r="F425" s="45"/>
      <c r="G425" s="45"/>
      <c r="H425" s="45"/>
      <c r="I425" s="45"/>
      <c r="J425" s="45"/>
      <c r="K425" s="60"/>
      <c r="L425" s="45"/>
      <c r="M425" s="45"/>
      <c r="N425" s="46"/>
      <c r="O425" s="46"/>
      <c r="P425" s="49"/>
      <c r="Q425" s="52"/>
      <c r="R425" s="52"/>
      <c r="S425" s="52"/>
      <c r="T425" s="30"/>
    </row>
    <row r="426" spans="2:20" ht="14.15" customHeight="1" x14ac:dyDescent="0.6">
      <c r="B426" s="50"/>
      <c r="C426" s="50"/>
      <c r="D426" s="50"/>
      <c r="E426" s="45"/>
      <c r="F426" s="45"/>
      <c r="G426" s="45"/>
      <c r="H426" s="45"/>
      <c r="I426" s="45"/>
      <c r="J426" s="45"/>
      <c r="K426" s="60"/>
      <c r="L426" s="45"/>
      <c r="M426" s="45"/>
      <c r="N426" s="46"/>
      <c r="O426" s="46"/>
      <c r="P426" s="49"/>
      <c r="Q426" s="52"/>
      <c r="R426" s="52"/>
      <c r="S426" s="52"/>
      <c r="T426" s="30"/>
    </row>
    <row r="427" spans="2:20" ht="14.15" customHeight="1" x14ac:dyDescent="0.6">
      <c r="B427" s="50"/>
      <c r="C427" s="50"/>
      <c r="D427" s="50"/>
      <c r="E427" s="45"/>
      <c r="F427" s="45"/>
      <c r="G427" s="45"/>
      <c r="H427" s="45"/>
      <c r="I427" s="45"/>
      <c r="J427" s="45"/>
      <c r="K427" s="60"/>
      <c r="L427" s="45"/>
      <c r="M427" s="45"/>
      <c r="N427" s="46"/>
      <c r="O427" s="46"/>
      <c r="P427" s="49"/>
      <c r="Q427" s="52"/>
      <c r="R427" s="52"/>
      <c r="S427" s="52"/>
      <c r="T427" s="30"/>
    </row>
    <row r="428" spans="2:20" ht="14.15" customHeight="1" x14ac:dyDescent="0.6">
      <c r="B428" s="50"/>
      <c r="C428" s="50"/>
      <c r="D428" s="50"/>
      <c r="E428" s="45"/>
      <c r="F428" s="45"/>
      <c r="G428" s="45"/>
      <c r="H428" s="45"/>
      <c r="I428" s="45"/>
      <c r="J428" s="45"/>
      <c r="K428" s="60"/>
      <c r="L428" s="45"/>
      <c r="M428" s="45"/>
      <c r="N428" s="46"/>
      <c r="O428" s="46"/>
      <c r="P428" s="49"/>
      <c r="Q428" s="52"/>
      <c r="R428" s="52"/>
      <c r="S428" s="52"/>
      <c r="T428" s="30"/>
    </row>
    <row r="429" spans="2:20" ht="14.15" customHeight="1" x14ac:dyDescent="0.6">
      <c r="B429" s="50"/>
      <c r="C429" s="50"/>
      <c r="D429" s="50"/>
      <c r="E429" s="45"/>
      <c r="F429" s="45"/>
      <c r="G429" s="45"/>
      <c r="H429" s="45"/>
      <c r="I429" s="45"/>
      <c r="J429" s="45"/>
      <c r="K429" s="60"/>
      <c r="L429" s="45"/>
      <c r="M429" s="45"/>
      <c r="N429" s="46"/>
      <c r="O429" s="46"/>
      <c r="P429" s="49"/>
      <c r="Q429" s="52"/>
      <c r="R429" s="52"/>
      <c r="S429" s="52"/>
      <c r="T429" s="30"/>
    </row>
    <row r="430" spans="2:20" ht="14.15" customHeight="1" x14ac:dyDescent="0.6">
      <c r="B430" s="50"/>
      <c r="C430" s="50"/>
      <c r="D430" s="50"/>
      <c r="E430" s="45"/>
      <c r="F430" s="45"/>
      <c r="G430" s="45"/>
      <c r="H430" s="45"/>
      <c r="I430" s="45"/>
      <c r="J430" s="45"/>
      <c r="K430" s="60"/>
      <c r="L430" s="45"/>
      <c r="M430" s="45"/>
      <c r="N430" s="46"/>
      <c r="O430" s="46"/>
      <c r="P430" s="49"/>
      <c r="Q430" s="52"/>
      <c r="R430" s="52"/>
      <c r="S430" s="52"/>
      <c r="T430" s="30"/>
    </row>
    <row r="431" spans="2:20" ht="14.15" customHeight="1" x14ac:dyDescent="0.6">
      <c r="B431" s="50"/>
      <c r="C431" s="50"/>
      <c r="D431" s="50"/>
      <c r="E431" s="45"/>
      <c r="F431" s="45"/>
      <c r="G431" s="45"/>
      <c r="H431" s="45"/>
      <c r="I431" s="45"/>
      <c r="J431" s="45"/>
      <c r="K431" s="60"/>
      <c r="L431" s="45"/>
      <c r="M431" s="45"/>
      <c r="N431" s="46"/>
      <c r="O431" s="46"/>
      <c r="P431" s="49"/>
      <c r="Q431" s="52"/>
      <c r="R431" s="52"/>
      <c r="S431" s="52"/>
      <c r="T431" s="30"/>
    </row>
    <row r="432" spans="2:20" ht="14.15" customHeight="1" x14ac:dyDescent="0.6">
      <c r="B432" s="50"/>
      <c r="C432" s="50"/>
      <c r="D432" s="50"/>
      <c r="E432" s="45"/>
      <c r="F432" s="45"/>
      <c r="G432" s="45"/>
      <c r="H432" s="45"/>
      <c r="I432" s="45"/>
      <c r="J432" s="45"/>
      <c r="K432" s="60"/>
      <c r="L432" s="45"/>
      <c r="M432" s="45"/>
      <c r="N432" s="46"/>
      <c r="O432" s="46"/>
      <c r="P432" s="49"/>
      <c r="Q432" s="52"/>
      <c r="R432" s="52"/>
      <c r="S432" s="52"/>
      <c r="T432" s="30"/>
    </row>
    <row r="433" spans="2:20" ht="14.15" customHeight="1" x14ac:dyDescent="0.6">
      <c r="B433" s="50"/>
      <c r="C433" s="50"/>
      <c r="D433" s="50"/>
      <c r="E433" s="45"/>
      <c r="F433" s="45"/>
      <c r="G433" s="45"/>
      <c r="H433" s="45"/>
      <c r="I433" s="45"/>
      <c r="J433" s="45"/>
      <c r="K433" s="60"/>
      <c r="L433" s="45"/>
      <c r="M433" s="45"/>
      <c r="N433" s="46"/>
      <c r="O433" s="46"/>
      <c r="P433" s="49"/>
      <c r="Q433" s="52"/>
      <c r="R433" s="52"/>
      <c r="S433" s="52"/>
      <c r="T433" s="30"/>
    </row>
    <row r="434" spans="2:20" ht="14.15" customHeight="1" x14ac:dyDescent="0.6">
      <c r="B434" s="50"/>
      <c r="C434" s="50"/>
      <c r="D434" s="50"/>
      <c r="E434" s="45"/>
      <c r="F434" s="45"/>
      <c r="G434" s="45"/>
      <c r="H434" s="45"/>
      <c r="I434" s="45"/>
      <c r="J434" s="45"/>
      <c r="K434" s="60"/>
      <c r="L434" s="45"/>
      <c r="M434" s="45"/>
      <c r="N434" s="46"/>
      <c r="O434" s="46"/>
      <c r="P434" s="49"/>
      <c r="Q434" s="52"/>
      <c r="R434" s="52"/>
      <c r="S434" s="52"/>
      <c r="T434" s="30"/>
    </row>
    <row r="435" spans="2:20" ht="14.15" customHeight="1" x14ac:dyDescent="0.6">
      <c r="B435" s="50"/>
      <c r="C435" s="50"/>
      <c r="D435" s="50"/>
      <c r="E435" s="45"/>
      <c r="F435" s="45"/>
      <c r="G435" s="45"/>
      <c r="H435" s="45"/>
      <c r="I435" s="45"/>
      <c r="J435" s="45"/>
      <c r="K435" s="60"/>
      <c r="L435" s="45"/>
      <c r="M435" s="45"/>
      <c r="N435" s="46"/>
      <c r="O435" s="46"/>
      <c r="P435" s="49"/>
      <c r="Q435" s="52"/>
      <c r="R435" s="52"/>
      <c r="S435" s="52"/>
      <c r="T435" s="30"/>
    </row>
    <row r="436" spans="2:20" ht="14.15" customHeight="1" x14ac:dyDescent="0.6">
      <c r="B436" s="50"/>
      <c r="C436" s="50"/>
      <c r="D436" s="50"/>
      <c r="E436" s="45"/>
      <c r="F436" s="45"/>
      <c r="G436" s="45"/>
      <c r="H436" s="45"/>
      <c r="I436" s="45"/>
      <c r="J436" s="45"/>
      <c r="K436" s="60"/>
      <c r="L436" s="45"/>
      <c r="M436" s="45"/>
      <c r="N436" s="46"/>
      <c r="O436" s="46"/>
      <c r="P436" s="49"/>
      <c r="Q436" s="52"/>
      <c r="R436" s="52"/>
      <c r="S436" s="52"/>
      <c r="T436" s="30"/>
    </row>
    <row r="437" spans="2:20" ht="14.15" customHeight="1" x14ac:dyDescent="0.6">
      <c r="B437" s="50"/>
      <c r="C437" s="50"/>
      <c r="D437" s="50"/>
      <c r="E437" s="45"/>
      <c r="F437" s="45"/>
      <c r="G437" s="45"/>
      <c r="H437" s="45"/>
      <c r="I437" s="45"/>
      <c r="J437" s="45"/>
      <c r="K437" s="60"/>
      <c r="L437" s="45"/>
      <c r="M437" s="45"/>
      <c r="N437" s="46"/>
      <c r="O437" s="46"/>
      <c r="P437" s="49"/>
      <c r="Q437" s="52"/>
      <c r="R437" s="52"/>
      <c r="S437" s="52"/>
      <c r="T437" s="30"/>
    </row>
    <row r="438" spans="2:20" ht="14.15" customHeight="1" x14ac:dyDescent="0.6">
      <c r="B438" s="50"/>
      <c r="C438" s="50"/>
      <c r="D438" s="50"/>
      <c r="E438" s="45"/>
      <c r="F438" s="45"/>
      <c r="G438" s="45"/>
      <c r="H438" s="45"/>
      <c r="I438" s="45"/>
      <c r="J438" s="45"/>
      <c r="K438" s="60"/>
      <c r="L438" s="45"/>
      <c r="M438" s="45"/>
      <c r="N438" s="46"/>
      <c r="O438" s="46"/>
      <c r="P438" s="49"/>
      <c r="Q438" s="52"/>
      <c r="R438" s="52"/>
      <c r="S438" s="52"/>
      <c r="T438" s="30"/>
    </row>
    <row r="439" spans="2:20" ht="14.15" customHeight="1" x14ac:dyDescent="0.6">
      <c r="B439" s="50"/>
      <c r="C439" s="50"/>
      <c r="D439" s="50"/>
      <c r="E439" s="45"/>
      <c r="F439" s="45"/>
      <c r="G439" s="45"/>
      <c r="H439" s="45"/>
      <c r="I439" s="45"/>
      <c r="J439" s="45"/>
      <c r="K439" s="60"/>
      <c r="L439" s="45"/>
      <c r="M439" s="45"/>
      <c r="N439" s="46"/>
      <c r="O439" s="46"/>
      <c r="P439" s="49"/>
      <c r="Q439" s="52"/>
      <c r="R439" s="52"/>
      <c r="S439" s="52"/>
      <c r="T439" s="30"/>
    </row>
    <row r="440" spans="2:20" ht="14.15" customHeight="1" x14ac:dyDescent="0.6">
      <c r="B440" s="50"/>
      <c r="C440" s="50"/>
      <c r="D440" s="50"/>
      <c r="E440" s="45"/>
      <c r="F440" s="45"/>
      <c r="G440" s="45"/>
      <c r="H440" s="45"/>
      <c r="I440" s="45"/>
      <c r="J440" s="45"/>
      <c r="K440" s="60"/>
      <c r="L440" s="45"/>
      <c r="M440" s="45"/>
      <c r="N440" s="46"/>
      <c r="O440" s="46"/>
      <c r="P440" s="49"/>
      <c r="Q440" s="52"/>
      <c r="R440" s="52"/>
      <c r="S440" s="52"/>
      <c r="T440" s="30"/>
    </row>
    <row r="441" spans="2:20" ht="14.15" customHeight="1" x14ac:dyDescent="0.6">
      <c r="B441" s="50"/>
      <c r="C441" s="50"/>
      <c r="D441" s="50"/>
      <c r="E441" s="45"/>
      <c r="F441" s="45"/>
      <c r="G441" s="45"/>
      <c r="H441" s="45"/>
      <c r="I441" s="45"/>
      <c r="J441" s="45"/>
      <c r="K441" s="60"/>
      <c r="L441" s="45"/>
      <c r="M441" s="45"/>
      <c r="N441" s="46"/>
      <c r="O441" s="46"/>
      <c r="P441" s="49"/>
      <c r="Q441" s="52"/>
      <c r="R441" s="52"/>
      <c r="S441" s="52"/>
      <c r="T441" s="30"/>
    </row>
    <row r="442" spans="2:20" ht="14.15" customHeight="1" x14ac:dyDescent="0.6">
      <c r="B442" s="50"/>
      <c r="C442" s="50"/>
      <c r="D442" s="50"/>
      <c r="E442" s="45"/>
      <c r="F442" s="45"/>
      <c r="G442" s="45"/>
      <c r="H442" s="45"/>
      <c r="I442" s="45"/>
      <c r="J442" s="45"/>
      <c r="K442" s="60"/>
      <c r="L442" s="45"/>
      <c r="M442" s="45"/>
      <c r="N442" s="46"/>
      <c r="O442" s="46"/>
      <c r="P442" s="49"/>
      <c r="Q442" s="52"/>
      <c r="R442" s="52"/>
      <c r="S442" s="52"/>
      <c r="T442" s="30"/>
    </row>
    <row r="443" spans="2:20" ht="14.15" customHeight="1" x14ac:dyDescent="0.6">
      <c r="B443" s="50"/>
      <c r="C443" s="50"/>
      <c r="D443" s="50"/>
      <c r="E443" s="45"/>
      <c r="F443" s="45"/>
      <c r="G443" s="45"/>
      <c r="H443" s="45"/>
      <c r="I443" s="45"/>
      <c r="J443" s="45"/>
      <c r="K443" s="60"/>
      <c r="L443" s="45"/>
      <c r="M443" s="45"/>
      <c r="N443" s="46"/>
      <c r="O443" s="46"/>
      <c r="P443" s="49"/>
      <c r="Q443" s="52"/>
      <c r="R443" s="52"/>
      <c r="S443" s="52"/>
      <c r="T443" s="30"/>
    </row>
    <row r="444" spans="2:20" ht="14.15" customHeight="1" x14ac:dyDescent="0.6">
      <c r="B444" s="50"/>
      <c r="C444" s="50"/>
      <c r="D444" s="50"/>
      <c r="E444" s="45"/>
      <c r="F444" s="45"/>
      <c r="G444" s="45"/>
      <c r="H444" s="45"/>
      <c r="I444" s="45"/>
      <c r="J444" s="45"/>
      <c r="K444" s="60"/>
      <c r="L444" s="45"/>
      <c r="M444" s="45"/>
      <c r="N444" s="46"/>
      <c r="O444" s="46"/>
      <c r="P444" s="49"/>
      <c r="Q444" s="52"/>
      <c r="R444" s="52"/>
      <c r="S444" s="52"/>
      <c r="T444" s="30"/>
    </row>
    <row r="445" spans="2:20" ht="14.15" customHeight="1" x14ac:dyDescent="0.6">
      <c r="B445" s="50"/>
      <c r="C445" s="50"/>
      <c r="D445" s="50"/>
      <c r="E445" s="45"/>
      <c r="F445" s="45"/>
      <c r="G445" s="45"/>
      <c r="H445" s="45"/>
      <c r="I445" s="45"/>
      <c r="J445" s="45"/>
      <c r="K445" s="60"/>
      <c r="L445" s="45"/>
      <c r="M445" s="45"/>
      <c r="N445" s="46"/>
      <c r="O445" s="46"/>
      <c r="P445" s="49"/>
      <c r="Q445" s="52"/>
      <c r="R445" s="52"/>
      <c r="S445" s="52"/>
      <c r="T445" s="30"/>
    </row>
    <row r="446" spans="2:20" ht="14.15" customHeight="1" x14ac:dyDescent="0.6">
      <c r="B446" s="50"/>
      <c r="C446" s="50"/>
      <c r="D446" s="50"/>
      <c r="E446" s="45"/>
      <c r="F446" s="45"/>
      <c r="G446" s="45"/>
      <c r="H446" s="45"/>
      <c r="I446" s="45"/>
      <c r="J446" s="45"/>
      <c r="K446" s="60"/>
      <c r="L446" s="45"/>
      <c r="M446" s="45"/>
      <c r="N446" s="46"/>
      <c r="O446" s="46"/>
      <c r="P446" s="49"/>
      <c r="Q446" s="52"/>
      <c r="R446" s="52"/>
      <c r="S446" s="52"/>
      <c r="T446" s="30"/>
    </row>
    <row r="447" spans="2:20" ht="14.15" customHeight="1" x14ac:dyDescent="0.6">
      <c r="B447" s="50"/>
      <c r="C447" s="50"/>
      <c r="D447" s="50"/>
      <c r="E447" s="45"/>
      <c r="F447" s="45"/>
      <c r="G447" s="45"/>
      <c r="H447" s="45"/>
      <c r="I447" s="45"/>
      <c r="J447" s="45"/>
      <c r="K447" s="60"/>
      <c r="L447" s="45"/>
      <c r="M447" s="45"/>
      <c r="N447" s="46"/>
      <c r="O447" s="46"/>
      <c r="P447" s="49"/>
      <c r="Q447" s="52"/>
      <c r="R447" s="52"/>
      <c r="S447" s="52"/>
      <c r="T447" s="30"/>
    </row>
    <row r="448" spans="2:20" ht="14.15" customHeight="1" x14ac:dyDescent="0.6">
      <c r="B448" s="50"/>
      <c r="C448" s="50"/>
      <c r="D448" s="50"/>
      <c r="E448" s="45"/>
      <c r="F448" s="45"/>
      <c r="G448" s="45"/>
      <c r="H448" s="45"/>
      <c r="I448" s="45"/>
      <c r="J448" s="45"/>
      <c r="K448" s="60"/>
      <c r="L448" s="45"/>
      <c r="M448" s="45"/>
      <c r="N448" s="46"/>
      <c r="O448" s="46"/>
      <c r="P448" s="49"/>
      <c r="Q448" s="52"/>
      <c r="R448" s="52"/>
      <c r="S448" s="52"/>
      <c r="T448" s="30"/>
    </row>
    <row r="449" spans="2:20" ht="14.15" customHeight="1" x14ac:dyDescent="0.6">
      <c r="B449" s="50"/>
      <c r="C449" s="50"/>
      <c r="D449" s="50"/>
      <c r="E449" s="45"/>
      <c r="F449" s="45"/>
      <c r="G449" s="45"/>
      <c r="H449" s="45"/>
      <c r="I449" s="45"/>
      <c r="J449" s="45"/>
      <c r="K449" s="60"/>
      <c r="L449" s="45"/>
      <c r="M449" s="45"/>
      <c r="N449" s="46"/>
      <c r="O449" s="46"/>
      <c r="P449" s="49"/>
      <c r="Q449" s="52"/>
      <c r="R449" s="52"/>
      <c r="S449" s="52"/>
      <c r="T449" s="30"/>
    </row>
    <row r="450" spans="2:20" ht="14.15" customHeight="1" x14ac:dyDescent="0.6">
      <c r="B450" s="50"/>
      <c r="C450" s="50"/>
      <c r="D450" s="50"/>
      <c r="E450" s="45"/>
      <c r="F450" s="45"/>
      <c r="G450" s="45"/>
      <c r="H450" s="45"/>
      <c r="I450" s="45"/>
      <c r="J450" s="45"/>
      <c r="K450" s="60"/>
      <c r="L450" s="45"/>
      <c r="M450" s="45"/>
      <c r="N450" s="46"/>
      <c r="O450" s="46"/>
      <c r="P450" s="49"/>
      <c r="Q450" s="52"/>
      <c r="R450" s="52"/>
      <c r="S450" s="52"/>
      <c r="T450" s="30"/>
    </row>
    <row r="451" spans="2:20" ht="14.15" customHeight="1" x14ac:dyDescent="0.6">
      <c r="B451" s="50"/>
      <c r="C451" s="50"/>
      <c r="D451" s="50"/>
      <c r="E451" s="45"/>
      <c r="F451" s="45"/>
      <c r="G451" s="45"/>
      <c r="H451" s="45"/>
      <c r="I451" s="45"/>
      <c r="J451" s="45"/>
      <c r="K451" s="60"/>
      <c r="L451" s="45"/>
      <c r="M451" s="45"/>
      <c r="N451" s="46"/>
      <c r="O451" s="46"/>
      <c r="P451" s="49"/>
      <c r="Q451" s="52"/>
      <c r="R451" s="52"/>
      <c r="S451" s="52"/>
      <c r="T451" s="30"/>
    </row>
    <row r="452" spans="2:20" ht="14.15" customHeight="1" x14ac:dyDescent="0.6">
      <c r="B452" s="50"/>
      <c r="C452" s="50"/>
      <c r="D452" s="50"/>
      <c r="E452" s="45"/>
      <c r="F452" s="45"/>
      <c r="G452" s="45"/>
      <c r="H452" s="45"/>
      <c r="I452" s="45"/>
      <c r="J452" s="45"/>
      <c r="K452" s="60"/>
      <c r="L452" s="45"/>
      <c r="M452" s="45"/>
      <c r="N452" s="46"/>
      <c r="O452" s="46"/>
      <c r="P452" s="49"/>
      <c r="Q452" s="52"/>
      <c r="R452" s="52"/>
      <c r="S452" s="52"/>
      <c r="T452" s="30"/>
    </row>
    <row r="453" spans="2:20" ht="14.15" customHeight="1" x14ac:dyDescent="0.6">
      <c r="B453" s="50"/>
      <c r="C453" s="50"/>
      <c r="D453" s="50"/>
      <c r="E453" s="45"/>
      <c r="F453" s="45"/>
      <c r="G453" s="45"/>
      <c r="H453" s="45"/>
      <c r="I453" s="45"/>
      <c r="J453" s="45"/>
      <c r="K453" s="60"/>
      <c r="L453" s="45"/>
      <c r="M453" s="45"/>
      <c r="N453" s="46"/>
      <c r="O453" s="46"/>
      <c r="P453" s="49"/>
      <c r="Q453" s="52"/>
      <c r="R453" s="52"/>
      <c r="S453" s="52"/>
      <c r="T453" s="30"/>
    </row>
    <row r="454" spans="2:20" ht="14.15" customHeight="1" x14ac:dyDescent="0.6">
      <c r="B454" s="50"/>
      <c r="C454" s="50"/>
      <c r="D454" s="50"/>
      <c r="E454" s="45"/>
      <c r="F454" s="45"/>
      <c r="G454" s="45"/>
      <c r="H454" s="45"/>
      <c r="I454" s="45"/>
      <c r="J454" s="45"/>
      <c r="K454" s="60"/>
      <c r="L454" s="45"/>
      <c r="M454" s="45"/>
      <c r="N454" s="46"/>
      <c r="O454" s="46"/>
      <c r="P454" s="49"/>
      <c r="Q454" s="52"/>
      <c r="R454" s="52"/>
      <c r="S454" s="52"/>
      <c r="T454" s="30"/>
    </row>
    <row r="455" spans="2:20" ht="14.15" customHeight="1" x14ac:dyDescent="0.6">
      <c r="B455" s="50"/>
      <c r="C455" s="50"/>
      <c r="D455" s="50"/>
      <c r="E455" s="45"/>
      <c r="F455" s="45"/>
      <c r="G455" s="45"/>
      <c r="H455" s="45"/>
      <c r="I455" s="45"/>
      <c r="J455" s="45"/>
      <c r="K455" s="60"/>
      <c r="L455" s="45"/>
      <c r="M455" s="45"/>
      <c r="N455" s="46"/>
      <c r="O455" s="46"/>
      <c r="P455" s="49"/>
      <c r="Q455" s="52"/>
      <c r="R455" s="52"/>
      <c r="S455" s="52"/>
      <c r="T455" s="30"/>
    </row>
    <row r="456" spans="2:20" ht="14.15" customHeight="1" x14ac:dyDescent="0.6">
      <c r="B456" s="50"/>
      <c r="C456" s="50"/>
      <c r="D456" s="50"/>
      <c r="E456" s="45"/>
      <c r="F456" s="45"/>
      <c r="G456" s="45"/>
      <c r="H456" s="45"/>
      <c r="I456" s="45"/>
      <c r="J456" s="45"/>
      <c r="K456" s="60"/>
      <c r="L456" s="45"/>
      <c r="M456" s="45"/>
      <c r="N456" s="46"/>
      <c r="O456" s="46"/>
      <c r="P456" s="49"/>
      <c r="Q456" s="52"/>
      <c r="R456" s="52"/>
      <c r="S456" s="52"/>
      <c r="T456" s="30"/>
    </row>
    <row r="457" spans="2:20" ht="14.15" customHeight="1" x14ac:dyDescent="0.6">
      <c r="B457" s="50"/>
      <c r="C457" s="50"/>
      <c r="D457" s="50"/>
      <c r="E457" s="45"/>
      <c r="F457" s="45"/>
      <c r="G457" s="45"/>
      <c r="H457" s="45"/>
      <c r="I457" s="45"/>
      <c r="J457" s="45"/>
      <c r="K457" s="60"/>
      <c r="L457" s="45"/>
      <c r="M457" s="45"/>
      <c r="N457" s="46"/>
      <c r="O457" s="46"/>
      <c r="P457" s="49"/>
      <c r="Q457" s="52"/>
      <c r="R457" s="52"/>
      <c r="S457" s="52"/>
      <c r="T457" s="30"/>
    </row>
    <row r="458" spans="2:20" ht="14.15" customHeight="1" x14ac:dyDescent="0.6">
      <c r="B458" s="50"/>
      <c r="C458" s="50"/>
      <c r="D458" s="50"/>
      <c r="E458" s="45"/>
      <c r="F458" s="45"/>
      <c r="G458" s="45"/>
      <c r="H458" s="45"/>
      <c r="I458" s="45"/>
      <c r="J458" s="45"/>
      <c r="K458" s="60"/>
      <c r="L458" s="45"/>
      <c r="M458" s="45"/>
      <c r="N458" s="46"/>
      <c r="O458" s="46"/>
      <c r="P458" s="49"/>
      <c r="Q458" s="52"/>
      <c r="R458" s="52"/>
      <c r="S458" s="52"/>
      <c r="T458" s="30"/>
    </row>
    <row r="459" spans="2:20" ht="14.15" customHeight="1" x14ac:dyDescent="0.6">
      <c r="B459" s="50"/>
      <c r="C459" s="50"/>
      <c r="D459" s="50"/>
      <c r="E459" s="45"/>
      <c r="F459" s="45"/>
      <c r="G459" s="45"/>
      <c r="H459" s="45"/>
      <c r="I459" s="45"/>
      <c r="J459" s="45"/>
      <c r="K459" s="60"/>
      <c r="L459" s="45"/>
      <c r="M459" s="45"/>
      <c r="N459" s="46"/>
      <c r="O459" s="46"/>
      <c r="P459" s="49"/>
      <c r="Q459" s="52"/>
      <c r="R459" s="52"/>
      <c r="S459" s="52"/>
      <c r="T459" s="30"/>
    </row>
    <row r="460" spans="2:20" ht="14.15" customHeight="1" x14ac:dyDescent="0.6">
      <c r="B460" s="50"/>
      <c r="C460" s="50"/>
      <c r="D460" s="50"/>
      <c r="E460" s="45"/>
      <c r="F460" s="45"/>
      <c r="G460" s="45"/>
      <c r="H460" s="45"/>
      <c r="I460" s="45"/>
      <c r="J460" s="45"/>
      <c r="K460" s="60"/>
      <c r="L460" s="45"/>
      <c r="M460" s="45"/>
      <c r="N460" s="46"/>
      <c r="O460" s="46"/>
      <c r="P460" s="49"/>
      <c r="Q460" s="52"/>
      <c r="R460" s="52"/>
      <c r="S460" s="52"/>
      <c r="T460" s="30"/>
    </row>
    <row r="461" spans="2:20" ht="14.15" customHeight="1" x14ac:dyDescent="0.6">
      <c r="B461" s="50"/>
      <c r="C461" s="50"/>
      <c r="D461" s="50"/>
      <c r="E461" s="45"/>
      <c r="F461" s="45"/>
      <c r="G461" s="45"/>
      <c r="H461" s="45"/>
      <c r="I461" s="45"/>
      <c r="J461" s="45"/>
      <c r="K461" s="60"/>
      <c r="L461" s="45"/>
      <c r="M461" s="45"/>
      <c r="N461" s="46"/>
      <c r="O461" s="46"/>
      <c r="P461" s="49"/>
      <c r="Q461" s="52"/>
      <c r="R461" s="52"/>
      <c r="S461" s="52"/>
      <c r="T461" s="30"/>
    </row>
    <row r="462" spans="2:20" ht="14.15" customHeight="1" x14ac:dyDescent="0.6">
      <c r="B462" s="50"/>
      <c r="C462" s="50"/>
      <c r="D462" s="50"/>
      <c r="E462" s="45"/>
      <c r="F462" s="45"/>
      <c r="G462" s="45"/>
      <c r="H462" s="45"/>
      <c r="I462" s="45"/>
      <c r="J462" s="45"/>
      <c r="K462" s="60"/>
      <c r="L462" s="45"/>
      <c r="M462" s="45"/>
      <c r="N462" s="46"/>
      <c r="O462" s="46"/>
      <c r="P462" s="49"/>
      <c r="Q462" s="52"/>
      <c r="R462" s="52"/>
      <c r="S462" s="52"/>
      <c r="T462" s="30"/>
    </row>
    <row r="463" spans="2:20" ht="14.15" customHeight="1" x14ac:dyDescent="0.6">
      <c r="B463" s="50"/>
      <c r="C463" s="50"/>
      <c r="D463" s="50"/>
      <c r="E463" s="45"/>
      <c r="F463" s="45"/>
      <c r="G463" s="45"/>
      <c r="H463" s="45"/>
      <c r="I463" s="45"/>
      <c r="J463" s="45"/>
      <c r="K463" s="60"/>
      <c r="L463" s="45"/>
      <c r="M463" s="45"/>
      <c r="N463" s="46"/>
      <c r="O463" s="46"/>
      <c r="P463" s="49"/>
      <c r="Q463" s="52"/>
      <c r="R463" s="52"/>
      <c r="S463" s="52"/>
      <c r="T463" s="30"/>
    </row>
    <row r="464" spans="2:20" ht="14.15" customHeight="1" x14ac:dyDescent="0.6">
      <c r="B464" s="50"/>
      <c r="C464" s="50"/>
      <c r="D464" s="50"/>
      <c r="E464" s="45"/>
      <c r="F464" s="45"/>
      <c r="G464" s="45"/>
      <c r="H464" s="45"/>
      <c r="I464" s="45"/>
      <c r="J464" s="45"/>
      <c r="K464" s="60"/>
      <c r="L464" s="45"/>
      <c r="M464" s="45"/>
      <c r="N464" s="46"/>
      <c r="O464" s="46"/>
      <c r="P464" s="49"/>
      <c r="Q464" s="52"/>
      <c r="R464" s="52"/>
      <c r="S464" s="52"/>
      <c r="T464" s="30"/>
    </row>
    <row r="465" spans="2:20" ht="14.15" customHeight="1" x14ac:dyDescent="0.6">
      <c r="B465" s="50"/>
      <c r="C465" s="50"/>
      <c r="D465" s="50"/>
      <c r="E465" s="45"/>
      <c r="F465" s="45"/>
      <c r="G465" s="45"/>
      <c r="H465" s="45"/>
      <c r="I465" s="45"/>
      <c r="J465" s="45"/>
      <c r="K465" s="60"/>
      <c r="L465" s="45"/>
      <c r="M465" s="45"/>
      <c r="N465" s="46"/>
      <c r="O465" s="46"/>
      <c r="P465" s="49"/>
      <c r="Q465" s="52"/>
      <c r="R465" s="52"/>
      <c r="S465" s="52"/>
      <c r="T465" s="30"/>
    </row>
    <row r="466" spans="2:20" ht="14.15" customHeight="1" x14ac:dyDescent="0.6">
      <c r="B466" s="50"/>
      <c r="C466" s="50"/>
      <c r="D466" s="50"/>
      <c r="E466" s="45"/>
      <c r="F466" s="45"/>
      <c r="G466" s="45"/>
      <c r="H466" s="45"/>
      <c r="I466" s="45"/>
      <c r="J466" s="45"/>
      <c r="K466" s="60"/>
      <c r="L466" s="45"/>
      <c r="M466" s="45"/>
      <c r="N466" s="46"/>
      <c r="O466" s="46"/>
      <c r="P466" s="49"/>
      <c r="Q466" s="52"/>
      <c r="R466" s="52"/>
      <c r="S466" s="52"/>
      <c r="T466" s="30"/>
    </row>
    <row r="467" spans="2:20" ht="14.15" customHeight="1" x14ac:dyDescent="0.6">
      <c r="B467" s="50"/>
      <c r="C467" s="50"/>
      <c r="D467" s="50"/>
      <c r="E467" s="45"/>
      <c r="F467" s="45"/>
      <c r="G467" s="45"/>
      <c r="H467" s="45"/>
      <c r="I467" s="45"/>
      <c r="J467" s="45"/>
      <c r="K467" s="60"/>
      <c r="L467" s="45"/>
      <c r="M467" s="45"/>
      <c r="N467" s="46"/>
      <c r="O467" s="46"/>
      <c r="P467" s="49"/>
      <c r="Q467" s="52"/>
      <c r="R467" s="52"/>
      <c r="S467" s="52"/>
      <c r="T467" s="30"/>
    </row>
    <row r="468" spans="2:20" ht="14.15" customHeight="1" x14ac:dyDescent="0.6">
      <c r="B468" s="50"/>
      <c r="C468" s="50"/>
      <c r="D468" s="50"/>
      <c r="E468" s="45"/>
      <c r="F468" s="45"/>
      <c r="G468" s="45"/>
      <c r="H468" s="45"/>
      <c r="I468" s="45"/>
      <c r="J468" s="45"/>
      <c r="K468" s="60"/>
      <c r="L468" s="45"/>
      <c r="M468" s="45"/>
      <c r="N468" s="46"/>
      <c r="O468" s="46"/>
      <c r="P468" s="49"/>
      <c r="Q468" s="52"/>
      <c r="R468" s="52"/>
      <c r="S468" s="52"/>
      <c r="T468" s="30"/>
    </row>
    <row r="469" spans="2:20" ht="14.15" customHeight="1" x14ac:dyDescent="0.6">
      <c r="B469" s="50"/>
      <c r="C469" s="50"/>
      <c r="D469" s="50"/>
      <c r="E469" s="45"/>
      <c r="F469" s="45"/>
      <c r="G469" s="45"/>
      <c r="H469" s="45"/>
      <c r="I469" s="45"/>
      <c r="J469" s="45"/>
      <c r="K469" s="60"/>
      <c r="L469" s="45"/>
      <c r="M469" s="45"/>
      <c r="N469" s="46"/>
      <c r="O469" s="46"/>
      <c r="P469" s="49"/>
      <c r="Q469" s="52"/>
      <c r="R469" s="52"/>
      <c r="S469" s="52"/>
      <c r="T469" s="30"/>
    </row>
    <row r="470" spans="2:20" ht="14.15" customHeight="1" x14ac:dyDescent="0.6">
      <c r="B470" s="50"/>
      <c r="C470" s="50"/>
      <c r="D470" s="50"/>
      <c r="E470" s="45"/>
      <c r="F470" s="45"/>
      <c r="G470" s="45"/>
      <c r="H470" s="45"/>
      <c r="I470" s="45"/>
      <c r="J470" s="45"/>
      <c r="K470" s="60"/>
      <c r="L470" s="45"/>
      <c r="M470" s="45"/>
      <c r="N470" s="46"/>
      <c r="O470" s="46"/>
      <c r="P470" s="49"/>
      <c r="Q470" s="52"/>
      <c r="R470" s="52"/>
      <c r="S470" s="52"/>
      <c r="T470" s="30"/>
    </row>
    <row r="471" spans="2:20" ht="14.15" customHeight="1" x14ac:dyDescent="0.6">
      <c r="B471" s="50"/>
      <c r="C471" s="50"/>
      <c r="D471" s="50"/>
      <c r="E471" s="45"/>
      <c r="F471" s="45"/>
      <c r="G471" s="45"/>
      <c r="H471" s="45"/>
      <c r="I471" s="45"/>
      <c r="J471" s="45"/>
      <c r="K471" s="60"/>
      <c r="L471" s="45"/>
      <c r="M471" s="45"/>
      <c r="N471" s="46"/>
      <c r="O471" s="46"/>
      <c r="P471" s="49"/>
      <c r="Q471" s="52"/>
      <c r="R471" s="52"/>
      <c r="S471" s="52"/>
      <c r="T471" s="30"/>
    </row>
    <row r="472" spans="2:20" ht="14.15" customHeight="1" x14ac:dyDescent="0.6">
      <c r="B472" s="50"/>
      <c r="C472" s="50"/>
      <c r="D472" s="50"/>
      <c r="E472" s="45"/>
      <c r="F472" s="45"/>
      <c r="G472" s="45"/>
      <c r="H472" s="45"/>
      <c r="I472" s="45"/>
      <c r="J472" s="45"/>
      <c r="K472" s="60"/>
      <c r="L472" s="45"/>
      <c r="M472" s="45"/>
      <c r="N472" s="46"/>
      <c r="O472" s="46"/>
      <c r="P472" s="49"/>
      <c r="Q472" s="52"/>
      <c r="R472" s="52"/>
      <c r="S472" s="52"/>
      <c r="T472" s="30"/>
    </row>
    <row r="473" spans="2:20" ht="14.15" customHeight="1" x14ac:dyDescent="0.6">
      <c r="B473" s="50"/>
      <c r="C473" s="50"/>
      <c r="D473" s="50"/>
      <c r="E473" s="45"/>
      <c r="F473" s="45"/>
      <c r="G473" s="45"/>
      <c r="H473" s="45"/>
      <c r="I473" s="45"/>
      <c r="J473" s="45"/>
      <c r="K473" s="60"/>
      <c r="L473" s="45"/>
      <c r="M473" s="45"/>
      <c r="N473" s="46"/>
      <c r="O473" s="46"/>
      <c r="P473" s="49"/>
      <c r="Q473" s="52"/>
      <c r="R473" s="52"/>
      <c r="S473" s="52"/>
      <c r="T473" s="30"/>
    </row>
    <row r="474" spans="2:20" ht="14.15" customHeight="1" x14ac:dyDescent="0.6">
      <c r="B474" s="50"/>
      <c r="C474" s="50"/>
      <c r="D474" s="50"/>
      <c r="E474" s="45"/>
      <c r="F474" s="45"/>
      <c r="G474" s="45"/>
      <c r="H474" s="45"/>
      <c r="I474" s="45"/>
      <c r="J474" s="45"/>
      <c r="K474" s="60"/>
      <c r="L474" s="45"/>
      <c r="M474" s="45"/>
      <c r="N474" s="46"/>
      <c r="O474" s="46"/>
      <c r="P474" s="49"/>
      <c r="Q474" s="52"/>
      <c r="R474" s="52"/>
      <c r="S474" s="52"/>
      <c r="T474" s="30"/>
    </row>
    <row r="475" spans="2:20" ht="14.15" customHeight="1" x14ac:dyDescent="0.6">
      <c r="B475" s="50"/>
      <c r="C475" s="50"/>
      <c r="D475" s="50"/>
      <c r="E475" s="45"/>
      <c r="F475" s="45"/>
      <c r="G475" s="45"/>
      <c r="H475" s="45"/>
      <c r="I475" s="45"/>
      <c r="J475" s="45"/>
      <c r="K475" s="60"/>
      <c r="L475" s="45"/>
      <c r="M475" s="45"/>
      <c r="N475" s="46"/>
      <c r="O475" s="46"/>
      <c r="P475" s="49"/>
      <c r="Q475" s="52"/>
      <c r="R475" s="52"/>
      <c r="S475" s="52"/>
      <c r="T475" s="30"/>
    </row>
    <row r="476" spans="2:20" ht="14.15" customHeight="1" x14ac:dyDescent="0.6">
      <c r="B476" s="50"/>
      <c r="C476" s="50"/>
      <c r="D476" s="50"/>
      <c r="E476" s="45"/>
      <c r="F476" s="45"/>
      <c r="G476" s="45"/>
      <c r="H476" s="45"/>
      <c r="I476" s="45"/>
      <c r="J476" s="45"/>
      <c r="K476" s="60"/>
      <c r="L476" s="45"/>
      <c r="M476" s="45"/>
      <c r="N476" s="46"/>
      <c r="O476" s="46"/>
      <c r="P476" s="49"/>
      <c r="Q476" s="52"/>
      <c r="R476" s="52"/>
      <c r="S476" s="52"/>
      <c r="T476" s="30"/>
    </row>
    <row r="477" spans="2:20" ht="14.15" customHeight="1" x14ac:dyDescent="0.6">
      <c r="B477" s="50"/>
      <c r="C477" s="50"/>
      <c r="D477" s="50"/>
      <c r="E477" s="45"/>
      <c r="F477" s="45"/>
      <c r="G477" s="45"/>
      <c r="H477" s="45"/>
      <c r="I477" s="45"/>
      <c r="J477" s="45"/>
      <c r="K477" s="60"/>
      <c r="L477" s="45"/>
      <c r="M477" s="45"/>
      <c r="N477" s="46"/>
      <c r="O477" s="46"/>
      <c r="P477" s="49"/>
      <c r="Q477" s="52"/>
      <c r="R477" s="52"/>
      <c r="S477" s="52"/>
      <c r="T477" s="30"/>
    </row>
    <row r="478" spans="2:20" ht="14.15" customHeight="1" x14ac:dyDescent="0.6">
      <c r="B478" s="50"/>
      <c r="C478" s="50"/>
      <c r="D478" s="50"/>
      <c r="E478" s="45"/>
      <c r="F478" s="45"/>
      <c r="G478" s="45"/>
      <c r="H478" s="45"/>
      <c r="I478" s="45"/>
      <c r="J478" s="45"/>
      <c r="K478" s="60"/>
      <c r="L478" s="45"/>
      <c r="M478" s="45"/>
      <c r="N478" s="46"/>
      <c r="O478" s="46"/>
      <c r="P478" s="49"/>
      <c r="Q478" s="52"/>
      <c r="R478" s="52"/>
      <c r="S478" s="52"/>
      <c r="T478" s="30"/>
    </row>
    <row r="479" spans="2:20" ht="14.15" customHeight="1" x14ac:dyDescent="0.6">
      <c r="B479" s="50"/>
      <c r="C479" s="50"/>
      <c r="D479" s="50"/>
      <c r="E479" s="45"/>
      <c r="F479" s="45"/>
      <c r="G479" s="45"/>
      <c r="H479" s="45"/>
      <c r="I479" s="45"/>
      <c r="J479" s="45"/>
      <c r="K479" s="60"/>
      <c r="L479" s="45"/>
      <c r="M479" s="45"/>
      <c r="N479" s="46"/>
      <c r="O479" s="46"/>
      <c r="P479" s="49"/>
      <c r="Q479" s="52"/>
      <c r="R479" s="52"/>
      <c r="S479" s="52"/>
      <c r="T479" s="30"/>
    </row>
    <row r="480" spans="2:20" ht="14.15" customHeight="1" x14ac:dyDescent="0.6">
      <c r="B480" s="50"/>
      <c r="C480" s="50"/>
      <c r="D480" s="50"/>
      <c r="E480" s="45"/>
      <c r="F480" s="45"/>
      <c r="G480" s="45"/>
      <c r="H480" s="45"/>
      <c r="I480" s="45"/>
      <c r="J480" s="45"/>
      <c r="K480" s="60"/>
      <c r="L480" s="45"/>
      <c r="M480" s="45"/>
      <c r="N480" s="46"/>
      <c r="O480" s="46"/>
      <c r="P480" s="49"/>
      <c r="Q480" s="52"/>
      <c r="R480" s="52"/>
      <c r="S480" s="52"/>
      <c r="T480" s="30"/>
    </row>
    <row r="481" spans="2:20" ht="14.15" customHeight="1" x14ac:dyDescent="0.6">
      <c r="B481" s="50"/>
      <c r="C481" s="50"/>
      <c r="D481" s="50"/>
      <c r="E481" s="45"/>
      <c r="F481" s="45"/>
      <c r="G481" s="45"/>
      <c r="H481" s="45"/>
      <c r="I481" s="45"/>
      <c r="J481" s="45"/>
      <c r="K481" s="60"/>
      <c r="L481" s="45"/>
      <c r="M481" s="45"/>
      <c r="N481" s="46"/>
      <c r="O481" s="46"/>
      <c r="P481" s="49"/>
      <c r="Q481" s="52"/>
      <c r="R481" s="52"/>
      <c r="S481" s="52"/>
      <c r="T481" s="30"/>
    </row>
    <row r="482" spans="2:20" ht="14.15" customHeight="1" x14ac:dyDescent="0.6">
      <c r="B482" s="50"/>
      <c r="C482" s="50"/>
      <c r="D482" s="50"/>
      <c r="E482" s="45"/>
      <c r="F482" s="45"/>
      <c r="G482" s="45"/>
      <c r="H482" s="45"/>
      <c r="I482" s="45"/>
      <c r="J482" s="45"/>
      <c r="K482" s="60"/>
      <c r="L482" s="45"/>
      <c r="M482" s="45"/>
      <c r="N482" s="46"/>
      <c r="O482" s="46"/>
      <c r="P482" s="49"/>
      <c r="Q482" s="52"/>
      <c r="R482" s="52"/>
      <c r="S482" s="52"/>
      <c r="T482" s="30"/>
    </row>
    <row r="483" spans="2:20" ht="14.15" customHeight="1" x14ac:dyDescent="0.6">
      <c r="B483" s="50"/>
      <c r="C483" s="50"/>
      <c r="D483" s="50"/>
      <c r="E483" s="45"/>
      <c r="F483" s="45"/>
      <c r="G483" s="45"/>
      <c r="H483" s="45"/>
      <c r="I483" s="45"/>
      <c r="J483" s="45"/>
      <c r="K483" s="60"/>
      <c r="L483" s="45"/>
      <c r="M483" s="45"/>
      <c r="N483" s="46"/>
      <c r="O483" s="46"/>
      <c r="P483" s="49"/>
      <c r="Q483" s="52"/>
      <c r="R483" s="52"/>
      <c r="S483" s="52"/>
      <c r="T483" s="30"/>
    </row>
    <row r="484" spans="2:20" ht="14.15" customHeight="1" x14ac:dyDescent="0.6">
      <c r="B484" s="50"/>
      <c r="C484" s="50"/>
      <c r="D484" s="50"/>
      <c r="E484" s="45"/>
      <c r="F484" s="45"/>
      <c r="G484" s="45"/>
      <c r="H484" s="45"/>
      <c r="I484" s="45"/>
      <c r="J484" s="45"/>
      <c r="K484" s="60"/>
      <c r="L484" s="45"/>
      <c r="M484" s="45"/>
      <c r="N484" s="46"/>
      <c r="O484" s="46"/>
      <c r="P484" s="49"/>
      <c r="Q484" s="52"/>
      <c r="R484" s="52"/>
      <c r="S484" s="52"/>
      <c r="T484" s="30"/>
    </row>
    <row r="485" spans="2:20" ht="14.15" customHeight="1" x14ac:dyDescent="0.6">
      <c r="B485" s="50"/>
      <c r="C485" s="50"/>
      <c r="D485" s="50"/>
      <c r="E485" s="45"/>
      <c r="F485" s="45"/>
      <c r="G485" s="45"/>
      <c r="H485" s="45"/>
      <c r="I485" s="45"/>
      <c r="J485" s="45"/>
      <c r="K485" s="60"/>
      <c r="L485" s="45"/>
      <c r="M485" s="45"/>
      <c r="N485" s="46"/>
      <c r="O485" s="46"/>
      <c r="P485" s="49"/>
      <c r="Q485" s="52"/>
      <c r="R485" s="52"/>
      <c r="S485" s="52"/>
      <c r="T485" s="30"/>
    </row>
    <row r="486" spans="2:20" ht="14.15" customHeight="1" x14ac:dyDescent="0.6">
      <c r="B486" s="50"/>
      <c r="C486" s="50"/>
      <c r="D486" s="50"/>
      <c r="E486" s="45"/>
      <c r="F486" s="45"/>
      <c r="G486" s="45"/>
      <c r="H486" s="45"/>
      <c r="I486" s="45"/>
      <c r="J486" s="45"/>
      <c r="K486" s="60"/>
      <c r="L486" s="45"/>
      <c r="M486" s="45"/>
      <c r="N486" s="46"/>
      <c r="O486" s="46"/>
      <c r="P486" s="49"/>
      <c r="Q486" s="52"/>
      <c r="R486" s="52"/>
      <c r="S486" s="52"/>
      <c r="T486" s="30"/>
    </row>
    <row r="487" spans="2:20" ht="14.15" customHeight="1" x14ac:dyDescent="0.6">
      <c r="B487" s="50"/>
      <c r="C487" s="50"/>
      <c r="D487" s="50"/>
      <c r="E487" s="45"/>
      <c r="F487" s="45"/>
      <c r="G487" s="45"/>
      <c r="H487" s="45"/>
      <c r="I487" s="45"/>
      <c r="J487" s="45"/>
      <c r="K487" s="60"/>
      <c r="L487" s="45"/>
      <c r="M487" s="45"/>
      <c r="N487" s="46"/>
      <c r="O487" s="46"/>
      <c r="P487" s="49"/>
      <c r="Q487" s="52"/>
      <c r="R487" s="52"/>
      <c r="S487" s="52"/>
      <c r="T487" s="30"/>
    </row>
    <row r="488" spans="2:20" ht="14.15" customHeight="1" x14ac:dyDescent="0.6">
      <c r="B488" s="50"/>
      <c r="C488" s="50"/>
      <c r="D488" s="50"/>
      <c r="E488" s="45"/>
      <c r="F488" s="45"/>
      <c r="G488" s="45"/>
      <c r="H488" s="45"/>
      <c r="I488" s="45"/>
      <c r="J488" s="45"/>
      <c r="K488" s="60"/>
      <c r="L488" s="45"/>
      <c r="M488" s="45"/>
      <c r="N488" s="46"/>
      <c r="O488" s="46"/>
      <c r="P488" s="49"/>
      <c r="Q488" s="52"/>
      <c r="R488" s="52"/>
      <c r="S488" s="52"/>
      <c r="T488" s="30"/>
    </row>
    <row r="489" spans="2:20" ht="14.15" customHeight="1" x14ac:dyDescent="0.6">
      <c r="B489" s="50"/>
      <c r="C489" s="50"/>
      <c r="D489" s="50"/>
      <c r="E489" s="45"/>
      <c r="F489" s="45"/>
      <c r="G489" s="45"/>
      <c r="H489" s="45"/>
      <c r="I489" s="45"/>
      <c r="J489" s="45"/>
      <c r="K489" s="60"/>
      <c r="L489" s="45"/>
      <c r="M489" s="45"/>
      <c r="N489" s="46"/>
      <c r="O489" s="46"/>
      <c r="P489" s="49"/>
      <c r="Q489" s="52"/>
      <c r="R489" s="52"/>
      <c r="S489" s="52"/>
      <c r="T489" s="30"/>
    </row>
    <row r="490" spans="2:20" ht="14.15" customHeight="1" x14ac:dyDescent="0.6">
      <c r="B490" s="50"/>
      <c r="C490" s="50"/>
      <c r="D490" s="50"/>
      <c r="E490" s="45"/>
      <c r="F490" s="45"/>
      <c r="G490" s="45"/>
      <c r="H490" s="45"/>
      <c r="I490" s="45"/>
      <c r="J490" s="45"/>
      <c r="K490" s="60"/>
      <c r="L490" s="45"/>
      <c r="M490" s="45"/>
      <c r="N490" s="46"/>
      <c r="O490" s="46"/>
      <c r="P490" s="49"/>
      <c r="Q490" s="52"/>
      <c r="R490" s="52"/>
      <c r="S490" s="52"/>
      <c r="T490" s="30"/>
    </row>
    <row r="491" spans="2:20" ht="14.15" customHeight="1" x14ac:dyDescent="0.6">
      <c r="B491" s="50"/>
      <c r="C491" s="50"/>
      <c r="D491" s="50"/>
      <c r="E491" s="45"/>
      <c r="F491" s="45"/>
      <c r="G491" s="45"/>
      <c r="H491" s="45"/>
      <c r="I491" s="45"/>
      <c r="J491" s="45"/>
      <c r="K491" s="60"/>
      <c r="L491" s="45"/>
      <c r="M491" s="45"/>
      <c r="N491" s="46"/>
      <c r="O491" s="46"/>
      <c r="P491" s="49"/>
      <c r="Q491" s="52"/>
      <c r="R491" s="52"/>
      <c r="S491" s="52"/>
      <c r="T491" s="30"/>
    </row>
    <row r="492" spans="2:20" ht="14.15" customHeight="1" x14ac:dyDescent="0.6">
      <c r="B492" s="50"/>
      <c r="C492" s="50"/>
      <c r="D492" s="50"/>
      <c r="E492" s="45"/>
      <c r="F492" s="45"/>
      <c r="G492" s="45"/>
      <c r="H492" s="45"/>
      <c r="I492" s="45"/>
      <c r="J492" s="45"/>
      <c r="K492" s="60"/>
      <c r="L492" s="45"/>
      <c r="M492" s="45"/>
      <c r="N492" s="46"/>
      <c r="O492" s="46"/>
      <c r="P492" s="49"/>
      <c r="Q492" s="52"/>
      <c r="R492" s="52"/>
      <c r="S492" s="52"/>
      <c r="T492" s="30"/>
    </row>
    <row r="493" spans="2:20" ht="14.15" customHeight="1" x14ac:dyDescent="0.6">
      <c r="B493" s="50"/>
      <c r="C493" s="50"/>
      <c r="D493" s="50"/>
      <c r="E493" s="45"/>
      <c r="F493" s="45"/>
      <c r="G493" s="45"/>
      <c r="H493" s="45"/>
      <c r="I493" s="45"/>
      <c r="J493" s="45"/>
      <c r="K493" s="60"/>
      <c r="L493" s="45"/>
      <c r="M493" s="45"/>
      <c r="N493" s="46"/>
      <c r="O493" s="46"/>
      <c r="P493" s="49"/>
      <c r="Q493" s="52"/>
      <c r="R493" s="52"/>
      <c r="S493" s="52"/>
      <c r="T493" s="30"/>
    </row>
    <row r="494" spans="2:20" ht="14.15" customHeight="1" x14ac:dyDescent="0.6">
      <c r="B494" s="50"/>
      <c r="C494" s="50"/>
      <c r="D494" s="50"/>
      <c r="E494" s="45"/>
      <c r="F494" s="45"/>
      <c r="G494" s="45"/>
      <c r="H494" s="45"/>
      <c r="I494" s="45"/>
      <c r="J494" s="45"/>
      <c r="K494" s="60"/>
      <c r="L494" s="45"/>
      <c r="M494" s="45"/>
      <c r="N494" s="46"/>
      <c r="O494" s="46"/>
      <c r="P494" s="49"/>
      <c r="Q494" s="52"/>
      <c r="R494" s="52"/>
      <c r="S494" s="52"/>
      <c r="T494" s="30"/>
    </row>
    <row r="495" spans="2:20" ht="14.15" customHeight="1" x14ac:dyDescent="0.6">
      <c r="B495" s="50"/>
      <c r="C495" s="50"/>
      <c r="D495" s="50"/>
      <c r="E495" s="45"/>
      <c r="F495" s="45"/>
      <c r="G495" s="45"/>
      <c r="H495" s="45"/>
      <c r="I495" s="45"/>
      <c r="J495" s="45"/>
      <c r="K495" s="60"/>
      <c r="L495" s="45"/>
      <c r="M495" s="45"/>
      <c r="N495" s="46"/>
      <c r="O495" s="46"/>
      <c r="P495" s="49"/>
      <c r="Q495" s="52"/>
      <c r="R495" s="52"/>
      <c r="S495" s="52"/>
      <c r="T495" s="30"/>
    </row>
    <row r="496" spans="2:20" ht="14.15" customHeight="1" x14ac:dyDescent="0.6">
      <c r="B496" s="50"/>
      <c r="C496" s="50"/>
      <c r="D496" s="50"/>
      <c r="E496" s="45"/>
      <c r="F496" s="45"/>
      <c r="G496" s="45"/>
      <c r="H496" s="45"/>
      <c r="I496" s="45"/>
      <c r="J496" s="45"/>
      <c r="K496" s="60"/>
      <c r="L496" s="45"/>
      <c r="M496" s="45"/>
      <c r="N496" s="46"/>
      <c r="O496" s="46"/>
      <c r="P496" s="49"/>
      <c r="Q496" s="52"/>
      <c r="R496" s="52"/>
      <c r="S496" s="52"/>
      <c r="T496" s="30"/>
    </row>
    <row r="497" spans="2:20" ht="14.15" customHeight="1" x14ac:dyDescent="0.6">
      <c r="B497" s="50"/>
      <c r="C497" s="50"/>
      <c r="D497" s="50"/>
      <c r="E497" s="45"/>
      <c r="F497" s="45"/>
      <c r="G497" s="45"/>
      <c r="H497" s="45"/>
      <c r="I497" s="45"/>
      <c r="J497" s="45"/>
      <c r="K497" s="60"/>
      <c r="L497" s="45"/>
      <c r="M497" s="45"/>
      <c r="N497" s="46"/>
      <c r="O497" s="46"/>
      <c r="P497" s="49"/>
      <c r="Q497" s="52"/>
      <c r="R497" s="52"/>
      <c r="S497" s="52"/>
      <c r="T497" s="30"/>
    </row>
    <row r="498" spans="2:20" ht="14.15" customHeight="1" x14ac:dyDescent="0.6">
      <c r="B498" s="50"/>
      <c r="C498" s="50"/>
      <c r="D498" s="50"/>
      <c r="E498" s="45"/>
      <c r="F498" s="45"/>
      <c r="G498" s="45"/>
      <c r="H498" s="45"/>
      <c r="I498" s="45"/>
      <c r="J498" s="45"/>
      <c r="K498" s="60"/>
      <c r="L498" s="45"/>
      <c r="M498" s="45"/>
      <c r="N498" s="46"/>
      <c r="O498" s="46"/>
      <c r="P498" s="49"/>
      <c r="Q498" s="52"/>
      <c r="R498" s="52"/>
      <c r="S498" s="52"/>
      <c r="T498" s="30"/>
    </row>
    <row r="499" spans="2:20" ht="14.15" customHeight="1" x14ac:dyDescent="0.6">
      <c r="B499" s="50"/>
      <c r="C499" s="50"/>
      <c r="D499" s="50"/>
      <c r="E499" s="45"/>
      <c r="F499" s="45"/>
      <c r="G499" s="45"/>
      <c r="H499" s="45"/>
      <c r="I499" s="45"/>
      <c r="J499" s="45"/>
      <c r="K499" s="60"/>
      <c r="L499" s="45"/>
      <c r="M499" s="45"/>
      <c r="N499" s="46"/>
      <c r="O499" s="46"/>
      <c r="P499" s="49"/>
      <c r="Q499" s="52"/>
      <c r="R499" s="52"/>
      <c r="S499" s="52"/>
      <c r="T499" s="30"/>
    </row>
    <row r="500" spans="2:20" ht="14.15" customHeight="1" x14ac:dyDescent="0.6">
      <c r="B500" s="50"/>
      <c r="C500" s="50"/>
      <c r="D500" s="50"/>
      <c r="E500" s="45"/>
      <c r="F500" s="45"/>
      <c r="G500" s="45"/>
      <c r="H500" s="45"/>
      <c r="I500" s="45"/>
      <c r="J500" s="45"/>
      <c r="K500" s="60"/>
      <c r="L500" s="45"/>
      <c r="M500" s="45"/>
      <c r="N500" s="46"/>
      <c r="O500" s="46"/>
      <c r="P500" s="49"/>
      <c r="Q500" s="52"/>
      <c r="R500" s="52"/>
      <c r="S500" s="52"/>
      <c r="T500" s="30"/>
    </row>
    <row r="501" spans="2:20" ht="14.15" customHeight="1" x14ac:dyDescent="0.6">
      <c r="B501" s="50"/>
      <c r="C501" s="50"/>
      <c r="D501" s="50"/>
      <c r="E501" s="45"/>
      <c r="F501" s="45"/>
      <c r="G501" s="45"/>
      <c r="H501" s="45"/>
      <c r="I501" s="45"/>
      <c r="J501" s="45"/>
      <c r="K501" s="60"/>
      <c r="L501" s="45"/>
      <c r="M501" s="45"/>
      <c r="N501" s="46"/>
      <c r="O501" s="46"/>
      <c r="P501" s="49"/>
      <c r="Q501" s="52"/>
      <c r="R501" s="52"/>
      <c r="S501" s="52"/>
      <c r="T501" s="30"/>
    </row>
    <row r="502" spans="2:20" ht="14.15" customHeight="1" x14ac:dyDescent="0.6">
      <c r="B502" s="50"/>
      <c r="C502" s="50"/>
      <c r="D502" s="50"/>
      <c r="E502" s="45"/>
      <c r="F502" s="45"/>
      <c r="G502" s="45"/>
      <c r="H502" s="45"/>
      <c r="I502" s="45"/>
      <c r="J502" s="45"/>
      <c r="K502" s="60"/>
      <c r="L502" s="45"/>
      <c r="M502" s="45"/>
      <c r="N502" s="46"/>
      <c r="O502" s="46"/>
      <c r="P502" s="49"/>
      <c r="Q502" s="52"/>
      <c r="R502" s="52"/>
      <c r="S502" s="52"/>
      <c r="T502" s="30"/>
    </row>
    <row r="503" spans="2:20" ht="14.15" customHeight="1" x14ac:dyDescent="0.6">
      <c r="B503" s="50"/>
      <c r="C503" s="50"/>
      <c r="D503" s="50"/>
      <c r="E503" s="45"/>
      <c r="F503" s="45"/>
      <c r="G503" s="45"/>
      <c r="H503" s="45"/>
      <c r="I503" s="45"/>
      <c r="J503" s="45"/>
      <c r="K503" s="60"/>
      <c r="L503" s="45"/>
      <c r="M503" s="45"/>
      <c r="N503" s="46"/>
      <c r="O503" s="46"/>
      <c r="P503" s="49"/>
      <c r="Q503" s="52"/>
      <c r="R503" s="52"/>
      <c r="S503" s="52"/>
      <c r="T503" s="30"/>
    </row>
    <row r="504" spans="2:20" ht="14.15" customHeight="1" x14ac:dyDescent="0.6">
      <c r="B504" s="50"/>
      <c r="C504" s="50"/>
      <c r="D504" s="50"/>
      <c r="E504" s="45"/>
      <c r="F504" s="45"/>
      <c r="G504" s="45"/>
      <c r="H504" s="45"/>
      <c r="I504" s="45"/>
      <c r="J504" s="45"/>
      <c r="K504" s="60"/>
      <c r="L504" s="45"/>
      <c r="M504" s="45"/>
      <c r="N504" s="46"/>
      <c r="O504" s="46"/>
      <c r="P504" s="49"/>
      <c r="Q504" s="52"/>
      <c r="R504" s="52"/>
      <c r="S504" s="52"/>
      <c r="T504" s="30"/>
    </row>
    <row r="505" spans="2:20" ht="14.15" customHeight="1" x14ac:dyDescent="0.6">
      <c r="B505" s="50"/>
      <c r="C505" s="50"/>
      <c r="D505" s="50"/>
      <c r="E505" s="45"/>
      <c r="F505" s="45"/>
      <c r="G505" s="45"/>
      <c r="H505" s="45"/>
      <c r="I505" s="45"/>
      <c r="J505" s="45"/>
      <c r="K505" s="60"/>
      <c r="L505" s="45"/>
      <c r="M505" s="45"/>
      <c r="N505" s="46"/>
      <c r="O505" s="46"/>
      <c r="P505" s="49"/>
      <c r="Q505" s="52"/>
      <c r="R505" s="52"/>
      <c r="S505" s="52"/>
      <c r="T505" s="30"/>
    </row>
    <row r="506" spans="2:20" ht="14.15" customHeight="1" x14ac:dyDescent="0.6">
      <c r="B506" s="50"/>
      <c r="C506" s="50"/>
      <c r="D506" s="50"/>
      <c r="E506" s="45"/>
      <c r="F506" s="45"/>
      <c r="G506" s="45"/>
      <c r="H506" s="45"/>
      <c r="I506" s="45"/>
      <c r="J506" s="45"/>
      <c r="K506" s="60"/>
      <c r="L506" s="45"/>
      <c r="M506" s="45"/>
      <c r="N506" s="46"/>
      <c r="O506" s="46"/>
      <c r="P506" s="49"/>
      <c r="Q506" s="52"/>
      <c r="R506" s="52"/>
      <c r="S506" s="52"/>
      <c r="T506" s="30"/>
    </row>
    <row r="507" spans="2:20" ht="14.15" customHeight="1" x14ac:dyDescent="0.6">
      <c r="B507" s="50"/>
      <c r="C507" s="50"/>
      <c r="D507" s="50"/>
      <c r="E507" s="45"/>
      <c r="F507" s="45"/>
      <c r="G507" s="45"/>
      <c r="H507" s="45"/>
      <c r="I507" s="45"/>
      <c r="J507" s="45"/>
      <c r="K507" s="60"/>
      <c r="L507" s="45"/>
      <c r="M507" s="45"/>
      <c r="N507" s="46"/>
      <c r="O507" s="46"/>
      <c r="P507" s="49"/>
      <c r="Q507" s="52"/>
      <c r="R507" s="52"/>
      <c r="S507" s="52"/>
      <c r="T507" s="30"/>
    </row>
    <row r="508" spans="2:20" ht="14.15" customHeight="1" x14ac:dyDescent="0.6">
      <c r="B508" s="50"/>
      <c r="C508" s="50"/>
      <c r="D508" s="50"/>
      <c r="E508" s="45"/>
      <c r="F508" s="45"/>
      <c r="G508" s="45"/>
      <c r="H508" s="45"/>
      <c r="I508" s="45"/>
      <c r="J508" s="45"/>
      <c r="K508" s="60"/>
      <c r="L508" s="45"/>
      <c r="M508" s="45"/>
      <c r="N508" s="46"/>
      <c r="O508" s="46"/>
      <c r="P508" s="49"/>
      <c r="Q508" s="52"/>
      <c r="R508" s="52"/>
      <c r="S508" s="52"/>
      <c r="T508" s="30"/>
    </row>
    <row r="509" spans="2:20" ht="14.15" customHeight="1" x14ac:dyDescent="0.6">
      <c r="B509" s="50"/>
      <c r="C509" s="50"/>
      <c r="D509" s="50"/>
      <c r="E509" s="45"/>
      <c r="F509" s="45"/>
      <c r="G509" s="45"/>
      <c r="H509" s="45"/>
      <c r="I509" s="45"/>
      <c r="J509" s="45"/>
      <c r="K509" s="60"/>
      <c r="L509" s="45"/>
      <c r="M509" s="45"/>
      <c r="N509" s="46"/>
      <c r="O509" s="46"/>
      <c r="P509" s="49"/>
      <c r="Q509" s="52"/>
      <c r="R509" s="52"/>
      <c r="S509" s="52"/>
      <c r="T509" s="30"/>
    </row>
    <row r="510" spans="2:20" ht="14.15" customHeight="1" x14ac:dyDescent="0.6">
      <c r="B510" s="50"/>
      <c r="C510" s="50"/>
      <c r="D510" s="50"/>
      <c r="E510" s="45"/>
      <c r="F510" s="45"/>
      <c r="G510" s="45"/>
      <c r="H510" s="45"/>
      <c r="I510" s="45"/>
      <c r="J510" s="45"/>
      <c r="K510" s="60"/>
      <c r="L510" s="45"/>
      <c r="M510" s="45"/>
      <c r="N510" s="46"/>
      <c r="O510" s="46"/>
      <c r="P510" s="49"/>
      <c r="Q510" s="52"/>
      <c r="R510" s="52"/>
      <c r="S510" s="52"/>
      <c r="T510" s="30"/>
    </row>
    <row r="511" spans="2:20" ht="14.15" customHeight="1" x14ac:dyDescent="0.6">
      <c r="B511" s="50"/>
      <c r="C511" s="50"/>
      <c r="D511" s="50"/>
      <c r="E511" s="45"/>
      <c r="F511" s="45"/>
      <c r="G511" s="45"/>
      <c r="H511" s="45"/>
      <c r="I511" s="45"/>
      <c r="J511" s="45"/>
      <c r="K511" s="60"/>
      <c r="L511" s="45"/>
      <c r="M511" s="45"/>
      <c r="N511" s="46"/>
      <c r="O511" s="46"/>
      <c r="P511" s="49"/>
      <c r="Q511" s="52"/>
      <c r="R511" s="52"/>
      <c r="S511" s="52"/>
      <c r="T511" s="30"/>
    </row>
    <row r="512" spans="2:20" ht="14.15" customHeight="1" x14ac:dyDescent="0.6">
      <c r="B512" s="50"/>
      <c r="C512" s="50"/>
      <c r="D512" s="50"/>
      <c r="E512" s="45"/>
      <c r="F512" s="45"/>
      <c r="G512" s="45"/>
      <c r="H512" s="45"/>
      <c r="I512" s="45"/>
      <c r="J512" s="45"/>
      <c r="K512" s="60"/>
      <c r="L512" s="45"/>
      <c r="M512" s="45"/>
      <c r="N512" s="46"/>
      <c r="O512" s="46"/>
      <c r="P512" s="49"/>
      <c r="Q512" s="52"/>
      <c r="R512" s="52"/>
      <c r="S512" s="52"/>
      <c r="T512" s="30"/>
    </row>
    <row r="513" spans="2:20" ht="14.15" customHeight="1" x14ac:dyDescent="0.6">
      <c r="B513" s="50"/>
      <c r="C513" s="50"/>
      <c r="D513" s="50"/>
      <c r="E513" s="45"/>
      <c r="F513" s="45"/>
      <c r="G513" s="45"/>
      <c r="H513" s="45"/>
      <c r="I513" s="45"/>
      <c r="J513" s="45"/>
      <c r="K513" s="60"/>
      <c r="L513" s="45"/>
      <c r="M513" s="45"/>
      <c r="N513" s="46"/>
      <c r="O513" s="46"/>
      <c r="P513" s="49"/>
      <c r="Q513" s="52"/>
      <c r="R513" s="52"/>
      <c r="S513" s="52"/>
      <c r="T513" s="30"/>
    </row>
    <row r="514" spans="2:20" ht="14.15" customHeight="1" x14ac:dyDescent="0.6">
      <c r="B514" s="50"/>
      <c r="C514" s="50"/>
      <c r="D514" s="50"/>
      <c r="E514" s="45"/>
      <c r="F514" s="45"/>
      <c r="G514" s="45"/>
      <c r="H514" s="45"/>
      <c r="I514" s="45"/>
      <c r="J514" s="45"/>
      <c r="K514" s="60"/>
      <c r="L514" s="45"/>
      <c r="M514" s="45"/>
      <c r="N514" s="46"/>
      <c r="O514" s="46"/>
      <c r="P514" s="49"/>
      <c r="Q514" s="52"/>
      <c r="R514" s="52"/>
      <c r="S514" s="52"/>
      <c r="T514" s="30"/>
    </row>
    <row r="515" spans="2:20" ht="14.15" customHeight="1" x14ac:dyDescent="0.6">
      <c r="B515" s="50"/>
      <c r="C515" s="50"/>
      <c r="D515" s="50"/>
      <c r="E515" s="45"/>
      <c r="F515" s="45"/>
      <c r="G515" s="45"/>
      <c r="H515" s="45"/>
      <c r="I515" s="45"/>
      <c r="J515" s="45"/>
      <c r="K515" s="60"/>
      <c r="L515" s="45"/>
      <c r="M515" s="45"/>
      <c r="N515" s="46"/>
      <c r="O515" s="46"/>
      <c r="P515" s="49"/>
      <c r="Q515" s="52"/>
      <c r="R515" s="52"/>
      <c r="S515" s="52"/>
      <c r="T515" s="30"/>
    </row>
    <row r="516" spans="2:20" ht="14.15" customHeight="1" x14ac:dyDescent="0.6">
      <c r="B516" s="50"/>
      <c r="C516" s="50"/>
      <c r="D516" s="50"/>
      <c r="E516" s="45"/>
      <c r="F516" s="45"/>
      <c r="G516" s="45"/>
      <c r="H516" s="45"/>
      <c r="I516" s="45"/>
      <c r="J516" s="45"/>
      <c r="K516" s="60"/>
      <c r="L516" s="45"/>
      <c r="M516" s="45"/>
      <c r="N516" s="46"/>
      <c r="O516" s="46"/>
      <c r="P516" s="49"/>
      <c r="Q516" s="52"/>
      <c r="R516" s="52"/>
      <c r="S516" s="52"/>
      <c r="T516" s="30"/>
    </row>
    <row r="517" spans="2:20" ht="14.15" customHeight="1" x14ac:dyDescent="0.6">
      <c r="B517" s="50"/>
      <c r="C517" s="50"/>
      <c r="D517" s="50"/>
      <c r="E517" s="45"/>
      <c r="F517" s="45"/>
      <c r="G517" s="45"/>
      <c r="H517" s="45"/>
      <c r="I517" s="45"/>
      <c r="J517" s="45"/>
      <c r="K517" s="60"/>
      <c r="L517" s="45"/>
      <c r="M517" s="45"/>
      <c r="N517" s="46"/>
      <c r="O517" s="46"/>
      <c r="P517" s="49"/>
      <c r="Q517" s="52"/>
      <c r="R517" s="52"/>
      <c r="S517" s="52"/>
      <c r="T517" s="30"/>
    </row>
    <row r="518" spans="2:20" ht="14.15" customHeight="1" x14ac:dyDescent="0.6">
      <c r="B518" s="50"/>
      <c r="C518" s="50"/>
      <c r="D518" s="50"/>
      <c r="E518" s="45"/>
      <c r="F518" s="45"/>
      <c r="G518" s="45"/>
      <c r="H518" s="45"/>
      <c r="I518" s="45"/>
      <c r="J518" s="45"/>
      <c r="K518" s="60"/>
      <c r="L518" s="45"/>
      <c r="M518" s="45"/>
      <c r="N518" s="46"/>
      <c r="O518" s="46"/>
      <c r="P518" s="49"/>
      <c r="Q518" s="52"/>
      <c r="R518" s="52"/>
      <c r="S518" s="52"/>
      <c r="T518" s="30"/>
    </row>
    <row r="519" spans="2:20" ht="14.15" customHeight="1" x14ac:dyDescent="0.6">
      <c r="B519" s="50"/>
      <c r="C519" s="50"/>
      <c r="D519" s="50"/>
      <c r="E519" s="45"/>
      <c r="F519" s="45"/>
      <c r="G519" s="45"/>
      <c r="H519" s="45"/>
      <c r="I519" s="45"/>
      <c r="J519" s="45"/>
      <c r="K519" s="60"/>
      <c r="L519" s="45"/>
      <c r="M519" s="45"/>
      <c r="N519" s="46"/>
      <c r="O519" s="46"/>
      <c r="P519" s="49"/>
      <c r="Q519" s="52"/>
      <c r="R519" s="52"/>
      <c r="S519" s="52"/>
      <c r="T519" s="30"/>
    </row>
    <row r="520" spans="2:20" ht="14.15" customHeight="1" x14ac:dyDescent="0.6">
      <c r="B520" s="50"/>
      <c r="C520" s="50"/>
      <c r="D520" s="50"/>
      <c r="E520" s="45"/>
      <c r="F520" s="45"/>
      <c r="G520" s="45"/>
      <c r="H520" s="45"/>
      <c r="I520" s="45"/>
      <c r="J520" s="45"/>
      <c r="K520" s="60"/>
      <c r="L520" s="45"/>
      <c r="M520" s="45"/>
      <c r="N520" s="46"/>
      <c r="O520" s="46"/>
      <c r="P520" s="49"/>
      <c r="Q520" s="52"/>
      <c r="R520" s="52"/>
      <c r="S520" s="52"/>
      <c r="T520" s="30"/>
    </row>
    <row r="521" spans="2:20" ht="14.15" customHeight="1" x14ac:dyDescent="0.6">
      <c r="B521" s="50"/>
      <c r="C521" s="50"/>
      <c r="D521" s="50"/>
      <c r="E521" s="45"/>
      <c r="F521" s="45"/>
      <c r="G521" s="45"/>
      <c r="H521" s="45"/>
      <c r="I521" s="45"/>
      <c r="J521" s="45"/>
      <c r="K521" s="60"/>
      <c r="L521" s="45"/>
      <c r="M521" s="45"/>
      <c r="N521" s="46"/>
      <c r="O521" s="46"/>
      <c r="P521" s="49"/>
      <c r="Q521" s="52"/>
      <c r="R521" s="52"/>
      <c r="S521" s="52"/>
      <c r="T521" s="30"/>
    </row>
    <row r="522" spans="2:20" ht="14.15" customHeight="1" x14ac:dyDescent="0.6">
      <c r="B522" s="50"/>
      <c r="C522" s="50"/>
      <c r="D522" s="50"/>
      <c r="E522" s="45"/>
      <c r="F522" s="45"/>
      <c r="G522" s="45"/>
      <c r="H522" s="45"/>
      <c r="I522" s="45"/>
      <c r="J522" s="45"/>
      <c r="K522" s="60"/>
      <c r="L522" s="45"/>
      <c r="M522" s="45"/>
      <c r="N522" s="46"/>
      <c r="O522" s="46"/>
      <c r="P522" s="49"/>
      <c r="Q522" s="52"/>
      <c r="R522" s="52"/>
      <c r="S522" s="52"/>
      <c r="T522" s="30"/>
    </row>
    <row r="523" spans="2:20" ht="14.15" customHeight="1" x14ac:dyDescent="0.6">
      <c r="B523" s="50"/>
      <c r="C523" s="50"/>
      <c r="D523" s="50"/>
      <c r="E523" s="45"/>
      <c r="F523" s="45"/>
      <c r="G523" s="45"/>
      <c r="H523" s="45"/>
      <c r="I523" s="45"/>
      <c r="J523" s="45"/>
      <c r="K523" s="60"/>
      <c r="L523" s="45"/>
      <c r="M523" s="45"/>
      <c r="N523" s="46"/>
      <c r="O523" s="46"/>
      <c r="P523" s="49"/>
      <c r="Q523" s="52"/>
      <c r="R523" s="52"/>
      <c r="S523" s="52"/>
      <c r="T523" s="30"/>
    </row>
    <row r="524" spans="2:20" ht="14.15" customHeight="1" x14ac:dyDescent="0.6">
      <c r="B524" s="50"/>
      <c r="C524" s="50"/>
      <c r="D524" s="50"/>
      <c r="E524" s="45"/>
      <c r="F524" s="45"/>
      <c r="G524" s="45"/>
      <c r="H524" s="45"/>
      <c r="I524" s="45"/>
      <c r="J524" s="45"/>
      <c r="K524" s="60"/>
      <c r="L524" s="45"/>
      <c r="M524" s="45"/>
      <c r="N524" s="46"/>
      <c r="O524" s="46"/>
      <c r="P524" s="49"/>
      <c r="Q524" s="52"/>
      <c r="R524" s="52"/>
      <c r="S524" s="52"/>
      <c r="T524" s="30"/>
    </row>
    <row r="525" spans="2:20" ht="14.15" customHeight="1" x14ac:dyDescent="0.6">
      <c r="B525" s="50"/>
      <c r="C525" s="50"/>
      <c r="D525" s="50"/>
      <c r="E525" s="45"/>
      <c r="F525" s="45"/>
      <c r="G525" s="45"/>
      <c r="H525" s="45"/>
      <c r="I525" s="45"/>
      <c r="J525" s="45"/>
      <c r="K525" s="60"/>
      <c r="L525" s="45"/>
      <c r="M525" s="45"/>
      <c r="N525" s="46"/>
      <c r="O525" s="46"/>
      <c r="P525" s="49"/>
      <c r="Q525" s="52"/>
      <c r="R525" s="52"/>
      <c r="S525" s="52"/>
      <c r="T525" s="30"/>
    </row>
    <row r="526" spans="2:20" ht="14.15" customHeight="1" x14ac:dyDescent="0.6">
      <c r="B526" s="50"/>
      <c r="C526" s="50"/>
      <c r="D526" s="50"/>
      <c r="E526" s="45"/>
      <c r="F526" s="45"/>
      <c r="G526" s="45"/>
      <c r="H526" s="45"/>
      <c r="I526" s="45"/>
      <c r="J526" s="45"/>
      <c r="K526" s="60"/>
      <c r="L526" s="45"/>
      <c r="M526" s="45"/>
      <c r="N526" s="46"/>
      <c r="O526" s="46"/>
      <c r="P526" s="49"/>
      <c r="Q526" s="52"/>
      <c r="R526" s="52"/>
      <c r="S526" s="52"/>
      <c r="T526" s="30"/>
    </row>
    <row r="527" spans="2:20" ht="14.15" customHeight="1" x14ac:dyDescent="0.6">
      <c r="B527" s="50"/>
      <c r="C527" s="50"/>
      <c r="D527" s="50"/>
      <c r="E527" s="45"/>
      <c r="F527" s="45"/>
      <c r="G527" s="45"/>
      <c r="H527" s="45"/>
      <c r="I527" s="45"/>
      <c r="J527" s="45"/>
      <c r="K527" s="60"/>
      <c r="L527" s="45"/>
      <c r="M527" s="45"/>
      <c r="N527" s="46"/>
      <c r="O527" s="46"/>
      <c r="P527" s="49"/>
      <c r="Q527" s="52"/>
      <c r="R527" s="52"/>
      <c r="S527" s="52"/>
      <c r="T527" s="30"/>
    </row>
    <row r="528" spans="2:20" ht="14.15" customHeight="1" x14ac:dyDescent="0.6">
      <c r="B528" s="50"/>
      <c r="C528" s="50"/>
      <c r="D528" s="50"/>
      <c r="E528" s="45"/>
      <c r="F528" s="45"/>
      <c r="G528" s="45"/>
      <c r="H528" s="45"/>
      <c r="I528" s="45"/>
      <c r="J528" s="45"/>
      <c r="K528" s="60"/>
      <c r="L528" s="45"/>
      <c r="M528" s="45"/>
      <c r="N528" s="46"/>
      <c r="O528" s="46"/>
      <c r="P528" s="49"/>
      <c r="Q528" s="52"/>
      <c r="R528" s="52"/>
      <c r="S528" s="52"/>
      <c r="T528" s="30"/>
    </row>
    <row r="529" spans="2:20" ht="14.15" customHeight="1" x14ac:dyDescent="0.6">
      <c r="B529" s="50"/>
      <c r="C529" s="50"/>
      <c r="D529" s="50"/>
      <c r="E529" s="45"/>
      <c r="F529" s="45"/>
      <c r="G529" s="45"/>
      <c r="H529" s="45"/>
      <c r="I529" s="45"/>
      <c r="J529" s="45"/>
      <c r="K529" s="60"/>
      <c r="L529" s="45"/>
      <c r="M529" s="45"/>
      <c r="N529" s="46"/>
      <c r="O529" s="46"/>
      <c r="P529" s="49"/>
      <c r="Q529" s="52"/>
      <c r="R529" s="52"/>
      <c r="S529" s="52"/>
      <c r="T529" s="30"/>
    </row>
    <row r="530" spans="2:20" ht="14.15" customHeight="1" x14ac:dyDescent="0.6">
      <c r="B530" s="50"/>
      <c r="C530" s="50"/>
      <c r="D530" s="50"/>
      <c r="E530" s="45"/>
      <c r="F530" s="45"/>
      <c r="G530" s="45"/>
      <c r="H530" s="45"/>
      <c r="I530" s="45"/>
      <c r="J530" s="45"/>
      <c r="K530" s="60"/>
      <c r="L530" s="45"/>
      <c r="M530" s="45"/>
      <c r="N530" s="46"/>
      <c r="O530" s="46"/>
      <c r="P530" s="49"/>
      <c r="Q530" s="52"/>
      <c r="R530" s="52"/>
      <c r="S530" s="52"/>
      <c r="T530" s="30"/>
    </row>
    <row r="531" spans="2:20" ht="14.15" customHeight="1" x14ac:dyDescent="0.6">
      <c r="B531" s="50"/>
      <c r="C531" s="50"/>
      <c r="D531" s="50"/>
      <c r="E531" s="45"/>
      <c r="F531" s="45"/>
      <c r="G531" s="45"/>
      <c r="H531" s="45"/>
      <c r="I531" s="45"/>
      <c r="J531" s="45"/>
      <c r="K531" s="60"/>
      <c r="L531" s="45"/>
      <c r="M531" s="45"/>
      <c r="N531" s="46"/>
      <c r="O531" s="46"/>
      <c r="P531" s="49"/>
      <c r="Q531" s="52"/>
      <c r="R531" s="52"/>
      <c r="S531" s="52"/>
      <c r="T531" s="30"/>
    </row>
    <row r="532" spans="2:20" ht="14.15" customHeight="1" x14ac:dyDescent="0.6">
      <c r="B532" s="50"/>
      <c r="C532" s="50"/>
      <c r="D532" s="50"/>
      <c r="E532" s="45"/>
      <c r="F532" s="45"/>
      <c r="G532" s="45"/>
      <c r="H532" s="45"/>
      <c r="I532" s="45"/>
      <c r="J532" s="45"/>
      <c r="K532" s="60"/>
      <c r="L532" s="45"/>
      <c r="M532" s="45"/>
      <c r="N532" s="46"/>
      <c r="O532" s="46"/>
      <c r="P532" s="49"/>
      <c r="Q532" s="52"/>
      <c r="R532" s="52"/>
      <c r="S532" s="52"/>
      <c r="T532" s="30"/>
    </row>
    <row r="533" spans="2:20" ht="14.15" customHeight="1" x14ac:dyDescent="0.6">
      <c r="B533" s="50"/>
      <c r="C533" s="50"/>
      <c r="D533" s="50"/>
      <c r="E533" s="45"/>
      <c r="F533" s="45"/>
      <c r="G533" s="45"/>
      <c r="H533" s="45"/>
      <c r="I533" s="45"/>
      <c r="J533" s="45"/>
      <c r="K533" s="60"/>
      <c r="L533" s="45"/>
      <c r="M533" s="45"/>
      <c r="N533" s="46"/>
      <c r="O533" s="46"/>
      <c r="P533" s="49"/>
      <c r="Q533" s="52"/>
      <c r="R533" s="52"/>
      <c r="S533" s="52"/>
      <c r="T533" s="30"/>
    </row>
    <row r="534" spans="2:20" ht="14.15" customHeight="1" x14ac:dyDescent="0.6">
      <c r="B534" s="50"/>
      <c r="C534" s="50"/>
      <c r="D534" s="50"/>
      <c r="E534" s="45"/>
      <c r="F534" s="45"/>
      <c r="G534" s="45"/>
      <c r="H534" s="45"/>
      <c r="I534" s="45"/>
      <c r="J534" s="45"/>
      <c r="K534" s="60"/>
      <c r="L534" s="45"/>
      <c r="M534" s="45"/>
      <c r="N534" s="46"/>
      <c r="O534" s="46"/>
      <c r="P534" s="49"/>
      <c r="Q534" s="52"/>
      <c r="R534" s="52"/>
      <c r="S534" s="52"/>
      <c r="T534" s="30"/>
    </row>
    <row r="535" spans="2:20" ht="14.15" customHeight="1" x14ac:dyDescent="0.6">
      <c r="B535" s="50"/>
      <c r="C535" s="50"/>
      <c r="D535" s="50"/>
      <c r="E535" s="45"/>
      <c r="F535" s="45"/>
      <c r="G535" s="45"/>
      <c r="H535" s="45"/>
      <c r="I535" s="45"/>
      <c r="J535" s="45"/>
      <c r="K535" s="60"/>
      <c r="L535" s="45"/>
      <c r="M535" s="45"/>
      <c r="N535" s="46"/>
      <c r="O535" s="46"/>
      <c r="P535" s="49"/>
      <c r="Q535" s="52"/>
      <c r="R535" s="52"/>
      <c r="S535" s="52"/>
      <c r="T535" s="30"/>
    </row>
    <row r="536" spans="2:20" ht="14.15" customHeight="1" x14ac:dyDescent="0.6">
      <c r="B536" s="50"/>
      <c r="C536" s="50"/>
      <c r="D536" s="50"/>
      <c r="E536" s="45"/>
      <c r="F536" s="45"/>
      <c r="G536" s="45"/>
      <c r="H536" s="45"/>
      <c r="I536" s="45"/>
      <c r="J536" s="45"/>
      <c r="K536" s="60"/>
      <c r="L536" s="45"/>
      <c r="M536" s="45"/>
      <c r="N536" s="46"/>
      <c r="O536" s="46"/>
      <c r="P536" s="49"/>
      <c r="Q536" s="52"/>
      <c r="R536" s="52"/>
      <c r="S536" s="52"/>
      <c r="T536" s="30"/>
    </row>
    <row r="537" spans="2:20" ht="14.15" customHeight="1" x14ac:dyDescent="0.6">
      <c r="B537" s="50"/>
      <c r="C537" s="50"/>
      <c r="D537" s="50"/>
      <c r="E537" s="45"/>
      <c r="F537" s="45"/>
      <c r="G537" s="45"/>
      <c r="H537" s="45"/>
      <c r="I537" s="45"/>
      <c r="J537" s="45"/>
      <c r="K537" s="60"/>
      <c r="L537" s="45"/>
      <c r="M537" s="45"/>
      <c r="N537" s="46"/>
      <c r="O537" s="46"/>
      <c r="P537" s="49"/>
      <c r="Q537" s="52"/>
      <c r="R537" s="52"/>
      <c r="S537" s="52"/>
      <c r="T537" s="30"/>
    </row>
    <row r="538" spans="2:20" ht="14.15" customHeight="1" x14ac:dyDescent="0.6">
      <c r="B538" s="50"/>
      <c r="C538" s="50"/>
      <c r="D538" s="50"/>
      <c r="E538" s="45"/>
      <c r="F538" s="45"/>
      <c r="G538" s="45"/>
      <c r="H538" s="45"/>
      <c r="I538" s="45"/>
      <c r="J538" s="45"/>
      <c r="K538" s="60"/>
      <c r="L538" s="45"/>
      <c r="M538" s="45"/>
      <c r="N538" s="46"/>
      <c r="O538" s="46"/>
      <c r="P538" s="49"/>
      <c r="Q538" s="52"/>
      <c r="R538" s="52"/>
      <c r="S538" s="52"/>
      <c r="T538" s="30"/>
    </row>
    <row r="539" spans="2:20" ht="14.15" customHeight="1" x14ac:dyDescent="0.6">
      <c r="B539" s="50"/>
      <c r="C539" s="50"/>
      <c r="D539" s="50"/>
      <c r="E539" s="45"/>
      <c r="F539" s="45"/>
      <c r="G539" s="45"/>
      <c r="H539" s="45"/>
      <c r="I539" s="45"/>
      <c r="J539" s="45"/>
      <c r="K539" s="60"/>
      <c r="L539" s="45"/>
      <c r="M539" s="45"/>
      <c r="N539" s="46"/>
      <c r="O539" s="46"/>
      <c r="P539" s="49"/>
      <c r="Q539" s="52"/>
      <c r="R539" s="52"/>
      <c r="S539" s="52"/>
      <c r="T539" s="30"/>
    </row>
    <row r="540" spans="2:20" ht="14.15" customHeight="1" x14ac:dyDescent="0.6">
      <c r="B540" s="50"/>
      <c r="C540" s="50"/>
      <c r="D540" s="50"/>
      <c r="E540" s="45"/>
      <c r="F540" s="45"/>
      <c r="G540" s="45"/>
      <c r="H540" s="45"/>
      <c r="I540" s="45"/>
      <c r="J540" s="45"/>
      <c r="K540" s="60"/>
      <c r="L540" s="45"/>
      <c r="M540" s="45"/>
      <c r="N540" s="46"/>
      <c r="O540" s="46"/>
      <c r="P540" s="49"/>
      <c r="Q540" s="52"/>
      <c r="R540" s="52"/>
      <c r="S540" s="52"/>
      <c r="T540" s="30"/>
    </row>
    <row r="541" spans="2:20" ht="14.15" customHeight="1" x14ac:dyDescent="0.6">
      <c r="B541" s="50"/>
      <c r="C541" s="50"/>
      <c r="D541" s="50"/>
      <c r="E541" s="45"/>
      <c r="F541" s="45"/>
      <c r="G541" s="45"/>
      <c r="H541" s="45"/>
      <c r="I541" s="45"/>
      <c r="J541" s="45"/>
      <c r="K541" s="60"/>
      <c r="L541" s="45"/>
      <c r="M541" s="45"/>
      <c r="N541" s="46"/>
      <c r="O541" s="46"/>
      <c r="P541" s="49"/>
      <c r="Q541" s="52"/>
      <c r="R541" s="52"/>
      <c r="S541" s="52"/>
      <c r="T541" s="30"/>
    </row>
    <row r="542" spans="2:20" ht="14.15" customHeight="1" x14ac:dyDescent="0.6">
      <c r="B542" s="50"/>
      <c r="C542" s="50"/>
      <c r="D542" s="50"/>
      <c r="E542" s="45"/>
      <c r="F542" s="45"/>
      <c r="G542" s="45"/>
      <c r="H542" s="45"/>
      <c r="I542" s="45"/>
      <c r="J542" s="45"/>
      <c r="K542" s="60"/>
      <c r="L542" s="45"/>
      <c r="M542" s="45"/>
      <c r="N542" s="46"/>
      <c r="O542" s="46"/>
      <c r="P542" s="49"/>
      <c r="Q542" s="52"/>
      <c r="R542" s="52"/>
      <c r="S542" s="52"/>
      <c r="T542" s="30"/>
    </row>
    <row r="543" spans="2:20" ht="14.15" customHeight="1" x14ac:dyDescent="0.6">
      <c r="B543" s="50"/>
      <c r="C543" s="50"/>
      <c r="D543" s="50"/>
      <c r="E543" s="45"/>
      <c r="F543" s="45"/>
      <c r="G543" s="45"/>
      <c r="H543" s="45"/>
      <c r="I543" s="45"/>
      <c r="J543" s="45"/>
      <c r="K543" s="60"/>
      <c r="L543" s="45"/>
      <c r="M543" s="45"/>
      <c r="N543" s="46"/>
      <c r="O543" s="46"/>
      <c r="P543" s="49"/>
      <c r="Q543" s="52"/>
      <c r="R543" s="52"/>
      <c r="S543" s="52"/>
      <c r="T543" s="30"/>
    </row>
    <row r="544" spans="2:20" ht="14.15" customHeight="1" x14ac:dyDescent="0.6">
      <c r="B544" s="50"/>
      <c r="C544" s="50"/>
      <c r="D544" s="50"/>
      <c r="E544" s="45"/>
      <c r="F544" s="45"/>
      <c r="G544" s="45"/>
      <c r="H544" s="45"/>
      <c r="I544" s="45"/>
      <c r="J544" s="45"/>
      <c r="K544" s="60"/>
      <c r="L544" s="45"/>
      <c r="M544" s="45"/>
      <c r="N544" s="46"/>
      <c r="O544" s="46"/>
      <c r="P544" s="49"/>
      <c r="Q544" s="52"/>
      <c r="R544" s="52"/>
      <c r="S544" s="52"/>
      <c r="T544" s="30"/>
    </row>
    <row r="545" spans="2:20" ht="14.15" customHeight="1" x14ac:dyDescent="0.6">
      <c r="B545" s="50"/>
      <c r="C545" s="50"/>
      <c r="D545" s="50"/>
      <c r="E545" s="45"/>
      <c r="F545" s="45"/>
      <c r="G545" s="45"/>
      <c r="H545" s="45"/>
      <c r="I545" s="45"/>
      <c r="J545" s="45"/>
      <c r="K545" s="60"/>
      <c r="L545" s="45"/>
      <c r="M545" s="45"/>
      <c r="N545" s="46"/>
      <c r="O545" s="46"/>
      <c r="P545" s="49"/>
      <c r="Q545" s="52"/>
      <c r="R545" s="52"/>
      <c r="S545" s="52"/>
      <c r="T545" s="30"/>
    </row>
    <row r="546" spans="2:20" ht="14.15" customHeight="1" x14ac:dyDescent="0.6">
      <c r="B546" s="50"/>
      <c r="C546" s="50"/>
      <c r="D546" s="50"/>
      <c r="E546" s="45"/>
      <c r="F546" s="45"/>
      <c r="G546" s="45"/>
      <c r="H546" s="45"/>
      <c r="I546" s="45"/>
      <c r="J546" s="45"/>
      <c r="K546" s="60"/>
      <c r="L546" s="45"/>
      <c r="M546" s="45"/>
      <c r="N546" s="46"/>
      <c r="O546" s="46"/>
      <c r="P546" s="49"/>
      <c r="Q546" s="52"/>
      <c r="R546" s="52"/>
      <c r="S546" s="52"/>
      <c r="T546" s="30"/>
    </row>
    <row r="547" spans="2:20" ht="14.15" customHeight="1" x14ac:dyDescent="0.6">
      <c r="B547" s="50"/>
      <c r="C547" s="50"/>
      <c r="D547" s="50"/>
      <c r="E547" s="45"/>
      <c r="F547" s="45"/>
      <c r="G547" s="45"/>
      <c r="H547" s="45"/>
      <c r="I547" s="45"/>
      <c r="J547" s="45"/>
      <c r="K547" s="60"/>
      <c r="L547" s="45"/>
      <c r="M547" s="45"/>
      <c r="N547" s="46"/>
      <c r="O547" s="46"/>
      <c r="P547" s="49"/>
      <c r="Q547" s="52"/>
      <c r="R547" s="52"/>
      <c r="S547" s="52"/>
      <c r="T547" s="30"/>
    </row>
    <row r="548" spans="2:20" ht="14.15" customHeight="1" x14ac:dyDescent="0.6">
      <c r="B548" s="50"/>
      <c r="C548" s="50"/>
      <c r="D548" s="50"/>
      <c r="E548" s="45"/>
      <c r="F548" s="45"/>
      <c r="G548" s="45"/>
      <c r="H548" s="45"/>
      <c r="I548" s="45"/>
      <c r="J548" s="45"/>
      <c r="K548" s="60"/>
      <c r="L548" s="45"/>
      <c r="M548" s="45"/>
      <c r="N548" s="46"/>
      <c r="O548" s="46"/>
      <c r="P548" s="49"/>
      <c r="Q548" s="52"/>
      <c r="R548" s="52"/>
      <c r="S548" s="52"/>
      <c r="T548" s="30"/>
    </row>
    <row r="549" spans="2:20" ht="14.15" customHeight="1" x14ac:dyDescent="0.6">
      <c r="B549" s="50"/>
      <c r="C549" s="50"/>
      <c r="D549" s="50"/>
      <c r="E549" s="45"/>
      <c r="F549" s="45"/>
      <c r="G549" s="45"/>
      <c r="H549" s="45"/>
      <c r="I549" s="45"/>
      <c r="J549" s="45"/>
      <c r="K549" s="60"/>
      <c r="L549" s="45"/>
      <c r="M549" s="45"/>
      <c r="N549" s="46"/>
      <c r="O549" s="46"/>
      <c r="P549" s="49"/>
      <c r="Q549" s="52"/>
      <c r="R549" s="52"/>
      <c r="S549" s="52"/>
      <c r="T549" s="30"/>
    </row>
    <row r="550" spans="2:20" ht="14.15" customHeight="1" x14ac:dyDescent="0.6">
      <c r="B550" s="50"/>
      <c r="C550" s="50"/>
      <c r="D550" s="50"/>
      <c r="E550" s="45"/>
      <c r="F550" s="45"/>
      <c r="G550" s="45"/>
      <c r="H550" s="45"/>
      <c r="I550" s="45"/>
      <c r="J550" s="45"/>
      <c r="K550" s="60"/>
      <c r="L550" s="45"/>
      <c r="M550" s="45"/>
      <c r="N550" s="46"/>
      <c r="O550" s="46"/>
      <c r="P550" s="49"/>
      <c r="Q550" s="52"/>
      <c r="R550" s="52"/>
      <c r="S550" s="52"/>
      <c r="T550" s="30"/>
    </row>
    <row r="551" spans="2:20" ht="14.15" customHeight="1" x14ac:dyDescent="0.6">
      <c r="B551" s="50"/>
      <c r="C551" s="50"/>
      <c r="D551" s="50"/>
      <c r="E551" s="45"/>
      <c r="F551" s="45"/>
      <c r="G551" s="45"/>
      <c r="H551" s="45"/>
      <c r="I551" s="45"/>
      <c r="J551" s="45"/>
      <c r="K551" s="60"/>
      <c r="L551" s="45"/>
      <c r="M551" s="45"/>
      <c r="N551" s="46"/>
      <c r="O551" s="46"/>
      <c r="P551" s="49"/>
      <c r="Q551" s="52"/>
      <c r="R551" s="52"/>
      <c r="S551" s="52"/>
      <c r="T551" s="30"/>
    </row>
    <row r="552" spans="2:20" ht="14.15" customHeight="1" x14ac:dyDescent="0.6">
      <c r="B552" s="50"/>
      <c r="C552" s="50"/>
      <c r="D552" s="50"/>
      <c r="E552" s="45"/>
      <c r="F552" s="45"/>
      <c r="G552" s="45"/>
      <c r="H552" s="45"/>
      <c r="I552" s="45"/>
      <c r="J552" s="45"/>
      <c r="K552" s="60"/>
      <c r="L552" s="45"/>
      <c r="M552" s="45"/>
      <c r="N552" s="46"/>
      <c r="O552" s="46"/>
      <c r="P552" s="49"/>
      <c r="Q552" s="52"/>
      <c r="R552" s="52"/>
      <c r="S552" s="52"/>
      <c r="T552" s="30"/>
    </row>
    <row r="553" spans="2:20" ht="14.15" customHeight="1" x14ac:dyDescent="0.6">
      <c r="B553" s="50"/>
      <c r="C553" s="50"/>
      <c r="D553" s="50"/>
      <c r="E553" s="45"/>
      <c r="F553" s="45"/>
      <c r="G553" s="45"/>
      <c r="H553" s="45"/>
      <c r="I553" s="45"/>
      <c r="J553" s="45"/>
      <c r="K553" s="60"/>
      <c r="L553" s="45"/>
      <c r="M553" s="45"/>
      <c r="N553" s="46"/>
      <c r="O553" s="46"/>
      <c r="P553" s="49"/>
      <c r="Q553" s="52"/>
      <c r="R553" s="52"/>
      <c r="S553" s="52"/>
      <c r="T553" s="30"/>
    </row>
    <row r="554" spans="2:20" ht="14.15" customHeight="1" x14ac:dyDescent="0.6">
      <c r="B554" s="50"/>
      <c r="C554" s="50"/>
      <c r="D554" s="50"/>
      <c r="E554" s="45"/>
      <c r="F554" s="45"/>
      <c r="G554" s="45"/>
      <c r="H554" s="45"/>
      <c r="I554" s="45"/>
      <c r="J554" s="45"/>
      <c r="K554" s="60"/>
      <c r="L554" s="45"/>
      <c r="M554" s="45"/>
      <c r="N554" s="46"/>
      <c r="O554" s="46"/>
      <c r="P554" s="49"/>
      <c r="Q554" s="52"/>
      <c r="R554" s="52"/>
      <c r="S554" s="52"/>
      <c r="T554" s="30"/>
    </row>
    <row r="555" spans="2:20" ht="14.15" customHeight="1" x14ac:dyDescent="0.6">
      <c r="B555" s="50"/>
      <c r="C555" s="50"/>
      <c r="D555" s="50"/>
      <c r="E555" s="45"/>
      <c r="F555" s="45"/>
      <c r="G555" s="45"/>
      <c r="H555" s="45"/>
      <c r="I555" s="45"/>
      <c r="J555" s="45"/>
      <c r="K555" s="60"/>
      <c r="L555" s="45"/>
      <c r="M555" s="45"/>
      <c r="N555" s="46"/>
      <c r="O555" s="46"/>
      <c r="P555" s="49"/>
      <c r="Q555" s="52"/>
      <c r="R555" s="52"/>
      <c r="S555" s="52"/>
      <c r="T555" s="30"/>
    </row>
    <row r="556" spans="2:20" ht="14.15" customHeight="1" x14ac:dyDescent="0.6">
      <c r="B556" s="50"/>
      <c r="C556" s="50"/>
      <c r="D556" s="50"/>
      <c r="E556" s="45"/>
      <c r="F556" s="45"/>
      <c r="G556" s="45"/>
      <c r="H556" s="45"/>
      <c r="I556" s="45"/>
      <c r="J556" s="45"/>
      <c r="K556" s="60"/>
      <c r="L556" s="45"/>
      <c r="M556" s="45"/>
      <c r="N556" s="46"/>
      <c r="O556" s="46"/>
      <c r="P556" s="49"/>
      <c r="Q556" s="52"/>
      <c r="R556" s="52"/>
      <c r="S556" s="52"/>
      <c r="T556" s="30"/>
    </row>
    <row r="557" spans="2:20" ht="14.15" customHeight="1" x14ac:dyDescent="0.6">
      <c r="B557" s="50"/>
      <c r="C557" s="50"/>
      <c r="D557" s="50"/>
      <c r="E557" s="45"/>
      <c r="F557" s="45"/>
      <c r="G557" s="45"/>
      <c r="H557" s="45"/>
      <c r="I557" s="45"/>
      <c r="J557" s="45"/>
      <c r="K557" s="60"/>
      <c r="L557" s="45"/>
      <c r="M557" s="45"/>
      <c r="N557" s="46"/>
      <c r="O557" s="46"/>
      <c r="P557" s="49"/>
      <c r="Q557" s="52"/>
      <c r="R557" s="52"/>
      <c r="S557" s="52"/>
      <c r="T557" s="30"/>
    </row>
    <row r="558" spans="2:20" ht="14.15" customHeight="1" x14ac:dyDescent="0.6">
      <c r="B558" s="50"/>
      <c r="C558" s="50"/>
      <c r="D558" s="50"/>
      <c r="E558" s="45"/>
      <c r="F558" s="45"/>
      <c r="G558" s="45"/>
      <c r="H558" s="45"/>
      <c r="I558" s="45"/>
      <c r="J558" s="45"/>
      <c r="K558" s="60"/>
      <c r="L558" s="45"/>
      <c r="M558" s="45"/>
      <c r="N558" s="46"/>
      <c r="O558" s="46"/>
      <c r="P558" s="49"/>
      <c r="Q558" s="52"/>
      <c r="R558" s="52"/>
      <c r="S558" s="52"/>
      <c r="T558" s="30"/>
    </row>
    <row r="559" spans="2:20" ht="14.15" customHeight="1" x14ac:dyDescent="0.6">
      <c r="B559" s="50"/>
      <c r="C559" s="50"/>
      <c r="D559" s="50"/>
      <c r="E559" s="45"/>
      <c r="F559" s="45"/>
      <c r="G559" s="45"/>
      <c r="H559" s="45"/>
      <c r="I559" s="45"/>
      <c r="J559" s="45"/>
      <c r="K559" s="60"/>
      <c r="L559" s="45"/>
      <c r="M559" s="45"/>
      <c r="N559" s="46"/>
      <c r="O559" s="46"/>
      <c r="P559" s="49"/>
      <c r="Q559" s="52"/>
      <c r="R559" s="52"/>
      <c r="S559" s="52"/>
      <c r="T559" s="30"/>
    </row>
    <row r="560" spans="2:20" ht="14.15" customHeight="1" x14ac:dyDescent="0.6">
      <c r="B560" s="50"/>
      <c r="C560" s="50"/>
      <c r="D560" s="50"/>
      <c r="E560" s="45"/>
      <c r="F560" s="45"/>
      <c r="G560" s="45"/>
      <c r="H560" s="45"/>
      <c r="I560" s="45"/>
      <c r="J560" s="45"/>
      <c r="K560" s="60"/>
      <c r="L560" s="45"/>
      <c r="M560" s="45"/>
      <c r="N560" s="46"/>
      <c r="O560" s="46"/>
      <c r="P560" s="49"/>
      <c r="Q560" s="52"/>
      <c r="R560" s="52"/>
      <c r="S560" s="52"/>
      <c r="T560" s="30"/>
    </row>
    <row r="561" spans="2:20" ht="14.15" customHeight="1" x14ac:dyDescent="0.6">
      <c r="B561" s="50"/>
      <c r="C561" s="50"/>
      <c r="D561" s="50"/>
      <c r="E561" s="45"/>
      <c r="F561" s="45"/>
      <c r="G561" s="45"/>
      <c r="H561" s="45"/>
      <c r="I561" s="45"/>
      <c r="J561" s="45"/>
      <c r="K561" s="60"/>
      <c r="L561" s="45"/>
      <c r="M561" s="45"/>
      <c r="N561" s="46"/>
      <c r="O561" s="46"/>
      <c r="P561" s="49"/>
      <c r="Q561" s="52"/>
      <c r="R561" s="52"/>
      <c r="S561" s="52"/>
      <c r="T561" s="30"/>
    </row>
    <row r="562" spans="2:20" ht="14.15" customHeight="1" x14ac:dyDescent="0.6">
      <c r="B562" s="50"/>
      <c r="C562" s="50"/>
      <c r="D562" s="50"/>
      <c r="E562" s="45"/>
      <c r="F562" s="45"/>
      <c r="G562" s="45"/>
      <c r="H562" s="45"/>
      <c r="I562" s="45"/>
      <c r="J562" s="45"/>
      <c r="K562" s="60"/>
      <c r="L562" s="45"/>
      <c r="M562" s="45"/>
      <c r="N562" s="46"/>
      <c r="O562" s="46"/>
      <c r="P562" s="49"/>
      <c r="Q562" s="52"/>
      <c r="R562" s="52"/>
      <c r="S562" s="52"/>
      <c r="T562" s="30"/>
    </row>
    <row r="563" spans="2:20" ht="14.15" customHeight="1" x14ac:dyDescent="0.6">
      <c r="B563" s="50"/>
      <c r="C563" s="50"/>
      <c r="D563" s="50"/>
      <c r="E563" s="45"/>
      <c r="F563" s="45"/>
      <c r="G563" s="45"/>
      <c r="H563" s="45"/>
      <c r="I563" s="45"/>
      <c r="J563" s="45"/>
      <c r="K563" s="60"/>
      <c r="L563" s="45"/>
      <c r="M563" s="45"/>
      <c r="N563" s="46"/>
      <c r="O563" s="46"/>
      <c r="P563" s="49"/>
      <c r="Q563" s="52"/>
      <c r="R563" s="52"/>
      <c r="S563" s="52"/>
      <c r="T563" s="30"/>
    </row>
    <row r="564" spans="2:20" ht="14.15" customHeight="1" x14ac:dyDescent="0.6">
      <c r="B564" s="50"/>
      <c r="C564" s="50"/>
      <c r="D564" s="50"/>
      <c r="E564" s="45"/>
      <c r="F564" s="45"/>
      <c r="G564" s="45"/>
      <c r="H564" s="45"/>
      <c r="I564" s="45"/>
      <c r="J564" s="45"/>
      <c r="K564" s="60"/>
      <c r="L564" s="45"/>
      <c r="M564" s="45"/>
      <c r="N564" s="46"/>
      <c r="O564" s="46"/>
      <c r="P564" s="49"/>
      <c r="Q564" s="52"/>
      <c r="R564" s="52"/>
      <c r="S564" s="52"/>
      <c r="T564" s="30"/>
    </row>
    <row r="565" spans="2:20" ht="14.15" customHeight="1" x14ac:dyDescent="0.6">
      <c r="B565" s="50"/>
      <c r="C565" s="50"/>
      <c r="D565" s="50"/>
      <c r="E565" s="45"/>
      <c r="F565" s="45"/>
      <c r="G565" s="45"/>
      <c r="H565" s="45"/>
      <c r="I565" s="45"/>
      <c r="J565" s="45"/>
      <c r="K565" s="60"/>
      <c r="L565" s="45"/>
      <c r="M565" s="45"/>
      <c r="N565" s="46"/>
      <c r="O565" s="46"/>
      <c r="P565" s="49"/>
      <c r="Q565" s="52"/>
      <c r="R565" s="52"/>
      <c r="S565" s="52"/>
      <c r="T565" s="30"/>
    </row>
    <row r="566" spans="2:20" ht="14.15" customHeight="1" x14ac:dyDescent="0.6">
      <c r="B566" s="50"/>
      <c r="C566" s="50"/>
      <c r="D566" s="50"/>
      <c r="E566" s="45"/>
      <c r="F566" s="45"/>
      <c r="G566" s="45"/>
      <c r="H566" s="45"/>
      <c r="I566" s="45"/>
      <c r="J566" s="45"/>
      <c r="K566" s="60"/>
      <c r="L566" s="45"/>
      <c r="M566" s="45"/>
      <c r="N566" s="46"/>
      <c r="O566" s="46"/>
      <c r="P566" s="49"/>
      <c r="Q566" s="52"/>
      <c r="R566" s="52"/>
      <c r="S566" s="52"/>
      <c r="T566" s="30"/>
    </row>
    <row r="567" spans="2:20" ht="14.15" customHeight="1" x14ac:dyDescent="0.6">
      <c r="B567" s="50"/>
      <c r="C567" s="50"/>
      <c r="D567" s="50"/>
      <c r="E567" s="45"/>
      <c r="F567" s="45"/>
      <c r="G567" s="45"/>
      <c r="H567" s="45"/>
      <c r="I567" s="45"/>
      <c r="J567" s="45"/>
      <c r="K567" s="60"/>
      <c r="L567" s="45"/>
      <c r="M567" s="45"/>
      <c r="N567" s="46"/>
      <c r="O567" s="46"/>
      <c r="P567" s="49"/>
      <c r="Q567" s="52"/>
      <c r="R567" s="52"/>
      <c r="S567" s="52"/>
      <c r="T567" s="30"/>
    </row>
    <row r="568" spans="2:20" ht="14.15" customHeight="1" x14ac:dyDescent="0.6">
      <c r="B568" s="50"/>
      <c r="C568" s="50"/>
      <c r="D568" s="50"/>
      <c r="E568" s="45"/>
      <c r="F568" s="45"/>
      <c r="G568" s="45"/>
      <c r="H568" s="45"/>
      <c r="I568" s="45"/>
      <c r="J568" s="45"/>
      <c r="K568" s="60"/>
      <c r="L568" s="45"/>
      <c r="M568" s="45"/>
      <c r="N568" s="46"/>
      <c r="O568" s="46"/>
      <c r="P568" s="49"/>
      <c r="Q568" s="52"/>
      <c r="R568" s="52"/>
      <c r="S568" s="52"/>
      <c r="T568" s="30"/>
    </row>
    <row r="569" spans="2:20" ht="14.15" customHeight="1" x14ac:dyDescent="0.6">
      <c r="B569" s="50"/>
      <c r="C569" s="50"/>
      <c r="D569" s="50"/>
      <c r="E569" s="45"/>
      <c r="F569" s="45"/>
      <c r="G569" s="45"/>
      <c r="H569" s="45"/>
      <c r="I569" s="45"/>
      <c r="J569" s="45"/>
      <c r="K569" s="60"/>
      <c r="L569" s="45"/>
      <c r="M569" s="45"/>
      <c r="N569" s="46"/>
      <c r="O569" s="46"/>
      <c r="P569" s="49"/>
      <c r="Q569" s="52"/>
      <c r="R569" s="52"/>
      <c r="S569" s="52"/>
      <c r="T569" s="30"/>
    </row>
    <row r="570" spans="2:20" ht="14.15" customHeight="1" x14ac:dyDescent="0.6">
      <c r="B570" s="50"/>
      <c r="C570" s="50"/>
      <c r="D570" s="50"/>
      <c r="E570" s="45"/>
      <c r="F570" s="45"/>
      <c r="G570" s="45"/>
      <c r="H570" s="45"/>
      <c r="I570" s="45"/>
      <c r="J570" s="45"/>
      <c r="K570" s="60"/>
      <c r="L570" s="45"/>
      <c r="M570" s="45"/>
      <c r="N570" s="46"/>
      <c r="O570" s="46"/>
      <c r="P570" s="49"/>
      <c r="Q570" s="52"/>
      <c r="R570" s="52"/>
      <c r="S570" s="52"/>
      <c r="T570" s="30"/>
    </row>
    <row r="571" spans="2:20" ht="14.15" customHeight="1" x14ac:dyDescent="0.6">
      <c r="B571" s="50"/>
      <c r="C571" s="50"/>
      <c r="D571" s="50"/>
      <c r="E571" s="45"/>
      <c r="F571" s="45"/>
      <c r="G571" s="45"/>
      <c r="H571" s="45"/>
      <c r="I571" s="45"/>
      <c r="J571" s="45"/>
      <c r="K571" s="60"/>
      <c r="L571" s="45"/>
      <c r="M571" s="45"/>
      <c r="N571" s="46"/>
      <c r="O571" s="46"/>
      <c r="P571" s="49"/>
      <c r="Q571" s="52"/>
      <c r="R571" s="52"/>
      <c r="S571" s="52"/>
      <c r="T571" s="30"/>
    </row>
    <row r="572" spans="2:20" ht="14.15" customHeight="1" x14ac:dyDescent="0.6">
      <c r="B572" s="50"/>
      <c r="C572" s="50"/>
      <c r="D572" s="50"/>
      <c r="E572" s="45"/>
      <c r="F572" s="45"/>
      <c r="G572" s="45"/>
      <c r="H572" s="45"/>
      <c r="I572" s="45"/>
      <c r="J572" s="45"/>
      <c r="K572" s="60"/>
      <c r="L572" s="45"/>
      <c r="M572" s="45"/>
      <c r="N572" s="46"/>
      <c r="O572" s="46"/>
      <c r="P572" s="49"/>
      <c r="Q572" s="52"/>
      <c r="R572" s="52"/>
      <c r="S572" s="52"/>
      <c r="T572" s="30"/>
    </row>
    <row r="573" spans="2:20" ht="14.15" customHeight="1" x14ac:dyDescent="0.6">
      <c r="B573" s="50"/>
      <c r="C573" s="50"/>
      <c r="D573" s="50"/>
      <c r="E573" s="45"/>
      <c r="F573" s="45"/>
      <c r="G573" s="45"/>
      <c r="H573" s="45"/>
      <c r="I573" s="45"/>
      <c r="J573" s="45"/>
      <c r="K573" s="60"/>
      <c r="L573" s="45"/>
      <c r="M573" s="45"/>
      <c r="N573" s="46"/>
      <c r="O573" s="46"/>
      <c r="P573" s="49"/>
      <c r="Q573" s="52"/>
      <c r="R573" s="52"/>
      <c r="S573" s="52"/>
      <c r="T573" s="30"/>
    </row>
    <row r="574" spans="2:20" ht="14.15" customHeight="1" x14ac:dyDescent="0.6">
      <c r="B574" s="50"/>
      <c r="C574" s="50"/>
      <c r="D574" s="50"/>
      <c r="E574" s="45"/>
      <c r="F574" s="45"/>
      <c r="G574" s="45"/>
      <c r="H574" s="45"/>
      <c r="I574" s="45"/>
      <c r="J574" s="45"/>
      <c r="K574" s="60"/>
      <c r="L574" s="45"/>
      <c r="M574" s="45"/>
      <c r="N574" s="46"/>
      <c r="O574" s="46"/>
      <c r="P574" s="49"/>
      <c r="Q574" s="52"/>
      <c r="R574" s="52"/>
      <c r="S574" s="52"/>
      <c r="T574" s="30"/>
    </row>
    <row r="575" spans="2:20" ht="14.15" customHeight="1" x14ac:dyDescent="0.6">
      <c r="B575" s="50"/>
      <c r="C575" s="50"/>
      <c r="D575" s="50"/>
      <c r="E575" s="45"/>
      <c r="F575" s="45"/>
      <c r="G575" s="45"/>
      <c r="H575" s="45"/>
      <c r="I575" s="45"/>
      <c r="J575" s="45"/>
      <c r="K575" s="60"/>
      <c r="L575" s="45"/>
      <c r="M575" s="45"/>
      <c r="N575" s="46"/>
      <c r="O575" s="46"/>
      <c r="P575" s="49"/>
      <c r="Q575" s="52"/>
      <c r="R575" s="52"/>
      <c r="S575" s="52"/>
      <c r="T575" s="30"/>
    </row>
    <row r="576" spans="2:20" ht="14.15" customHeight="1" x14ac:dyDescent="0.6">
      <c r="B576" s="50"/>
      <c r="C576" s="50"/>
      <c r="D576" s="50"/>
      <c r="E576" s="45"/>
      <c r="F576" s="45"/>
      <c r="G576" s="45"/>
      <c r="H576" s="45"/>
      <c r="I576" s="45"/>
      <c r="J576" s="45"/>
      <c r="K576" s="60"/>
      <c r="L576" s="45"/>
      <c r="M576" s="45"/>
      <c r="N576" s="46"/>
      <c r="O576" s="46"/>
      <c r="P576" s="49"/>
      <c r="Q576" s="52"/>
      <c r="R576" s="52"/>
      <c r="S576" s="52"/>
      <c r="T576" s="30"/>
    </row>
    <row r="577" spans="2:20" ht="14.15" customHeight="1" x14ac:dyDescent="0.6">
      <c r="B577" s="50"/>
      <c r="C577" s="50"/>
      <c r="D577" s="50"/>
      <c r="E577" s="45"/>
      <c r="F577" s="45"/>
      <c r="G577" s="45"/>
      <c r="H577" s="45"/>
      <c r="I577" s="45"/>
      <c r="J577" s="45"/>
      <c r="K577" s="60"/>
      <c r="L577" s="45"/>
      <c r="M577" s="45"/>
      <c r="N577" s="46"/>
      <c r="O577" s="46"/>
      <c r="P577" s="49"/>
      <c r="Q577" s="52"/>
      <c r="R577" s="52"/>
      <c r="S577" s="52"/>
      <c r="T577" s="30"/>
    </row>
    <row r="578" spans="2:20" ht="14.15" customHeight="1" x14ac:dyDescent="0.6">
      <c r="B578" s="50"/>
      <c r="C578" s="50"/>
      <c r="D578" s="50"/>
      <c r="E578" s="45"/>
      <c r="F578" s="45"/>
      <c r="G578" s="45"/>
      <c r="H578" s="45"/>
      <c r="I578" s="45"/>
      <c r="J578" s="45"/>
      <c r="K578" s="60"/>
      <c r="L578" s="45"/>
      <c r="M578" s="45"/>
      <c r="N578" s="46"/>
      <c r="O578" s="46"/>
      <c r="P578" s="49"/>
      <c r="Q578" s="52"/>
      <c r="R578" s="52"/>
      <c r="S578" s="52"/>
      <c r="T578" s="30"/>
    </row>
    <row r="579" spans="2:20" ht="14.15" customHeight="1" x14ac:dyDescent="0.6">
      <c r="B579" s="50"/>
      <c r="C579" s="50"/>
      <c r="D579" s="50"/>
      <c r="E579" s="45"/>
      <c r="F579" s="45"/>
      <c r="G579" s="45"/>
      <c r="H579" s="45"/>
      <c r="I579" s="45"/>
      <c r="J579" s="45"/>
      <c r="K579" s="60"/>
      <c r="L579" s="45"/>
      <c r="M579" s="45"/>
      <c r="N579" s="46"/>
      <c r="O579" s="46"/>
      <c r="P579" s="49"/>
      <c r="Q579" s="52"/>
      <c r="R579" s="52"/>
      <c r="S579" s="52"/>
      <c r="T579" s="30"/>
    </row>
    <row r="580" spans="2:20" ht="14.15" customHeight="1" x14ac:dyDescent="0.6">
      <c r="B580" s="50"/>
      <c r="C580" s="50"/>
      <c r="D580" s="50"/>
      <c r="E580" s="45"/>
      <c r="F580" s="45"/>
      <c r="G580" s="45"/>
      <c r="H580" s="45"/>
      <c r="I580" s="45"/>
      <c r="J580" s="45"/>
      <c r="K580" s="60"/>
      <c r="L580" s="45"/>
      <c r="M580" s="45"/>
      <c r="N580" s="46"/>
      <c r="O580" s="46"/>
      <c r="P580" s="49"/>
      <c r="Q580" s="52"/>
      <c r="R580" s="52"/>
      <c r="S580" s="52"/>
      <c r="T580" s="30"/>
    </row>
    <row r="581" spans="2:20" ht="14.15" customHeight="1" x14ac:dyDescent="0.6">
      <c r="B581" s="50"/>
      <c r="C581" s="50"/>
      <c r="D581" s="50"/>
      <c r="E581" s="45"/>
      <c r="F581" s="45"/>
      <c r="G581" s="45"/>
      <c r="H581" s="45"/>
      <c r="I581" s="45"/>
      <c r="J581" s="45"/>
      <c r="K581" s="60"/>
      <c r="L581" s="45"/>
      <c r="M581" s="45"/>
      <c r="N581" s="46"/>
      <c r="O581" s="46"/>
      <c r="P581" s="49"/>
      <c r="Q581" s="52"/>
      <c r="R581" s="52"/>
      <c r="S581" s="52"/>
      <c r="T581" s="30"/>
    </row>
    <row r="582" spans="2:20" ht="14.15" customHeight="1" x14ac:dyDescent="0.6">
      <c r="B582" s="50"/>
      <c r="C582" s="50"/>
      <c r="D582" s="50"/>
      <c r="E582" s="45"/>
      <c r="F582" s="45"/>
      <c r="G582" s="45"/>
      <c r="H582" s="45"/>
      <c r="I582" s="45"/>
      <c r="J582" s="45"/>
      <c r="K582" s="60"/>
      <c r="L582" s="45"/>
      <c r="M582" s="45"/>
      <c r="N582" s="46"/>
      <c r="O582" s="46"/>
      <c r="P582" s="49"/>
      <c r="Q582" s="52"/>
      <c r="R582" s="52"/>
      <c r="S582" s="52"/>
      <c r="T582" s="30"/>
    </row>
    <row r="583" spans="2:20" ht="14.15" customHeight="1" x14ac:dyDescent="0.6">
      <c r="B583" s="50"/>
      <c r="C583" s="50"/>
      <c r="D583" s="50"/>
      <c r="E583" s="45"/>
      <c r="F583" s="45"/>
      <c r="G583" s="45"/>
      <c r="H583" s="45"/>
      <c r="I583" s="45"/>
      <c r="J583" s="45"/>
      <c r="K583" s="60"/>
      <c r="L583" s="45"/>
      <c r="M583" s="45"/>
      <c r="N583" s="46"/>
      <c r="O583" s="46"/>
      <c r="P583" s="49"/>
      <c r="Q583" s="52"/>
      <c r="R583" s="52"/>
      <c r="S583" s="52"/>
      <c r="T583" s="30"/>
    </row>
    <row r="584" spans="2:20" ht="14.15" customHeight="1" x14ac:dyDescent="0.6">
      <c r="B584" s="50"/>
      <c r="C584" s="50"/>
      <c r="D584" s="50"/>
      <c r="E584" s="45"/>
      <c r="F584" s="45"/>
      <c r="G584" s="45"/>
      <c r="H584" s="45"/>
      <c r="I584" s="45"/>
      <c r="J584" s="45"/>
      <c r="K584" s="60"/>
      <c r="L584" s="45"/>
      <c r="M584" s="45"/>
      <c r="N584" s="46"/>
      <c r="O584" s="46"/>
      <c r="P584" s="49"/>
      <c r="Q584" s="52"/>
      <c r="R584" s="52"/>
      <c r="S584" s="52"/>
      <c r="T584" s="30"/>
    </row>
    <row r="585" spans="2:20" ht="14.15" customHeight="1" x14ac:dyDescent="0.6">
      <c r="B585" s="50"/>
      <c r="C585" s="50"/>
      <c r="D585" s="50"/>
      <c r="E585" s="45"/>
      <c r="F585" s="45"/>
      <c r="G585" s="45"/>
      <c r="H585" s="45"/>
      <c r="I585" s="45"/>
      <c r="J585" s="45"/>
      <c r="K585" s="60"/>
      <c r="L585" s="45"/>
      <c r="M585" s="45"/>
      <c r="N585" s="46"/>
      <c r="O585" s="46"/>
      <c r="P585" s="49"/>
      <c r="Q585" s="52"/>
      <c r="R585" s="52"/>
      <c r="S585" s="52"/>
      <c r="T585" s="30"/>
    </row>
    <row r="586" spans="2:20" ht="14.15" customHeight="1" x14ac:dyDescent="0.6">
      <c r="B586" s="50"/>
      <c r="C586" s="50"/>
      <c r="D586" s="50"/>
      <c r="E586" s="45"/>
      <c r="F586" s="45"/>
      <c r="G586" s="45"/>
      <c r="H586" s="45"/>
      <c r="I586" s="45"/>
      <c r="J586" s="45"/>
      <c r="K586" s="60"/>
      <c r="L586" s="45"/>
      <c r="M586" s="45"/>
      <c r="N586" s="46"/>
      <c r="O586" s="46"/>
      <c r="P586" s="49"/>
      <c r="Q586" s="52"/>
      <c r="R586" s="52"/>
      <c r="S586" s="52"/>
      <c r="T586" s="30"/>
    </row>
    <row r="587" spans="2:20" ht="14.15" customHeight="1" x14ac:dyDescent="0.6">
      <c r="B587" s="50"/>
      <c r="C587" s="50"/>
      <c r="D587" s="50"/>
      <c r="E587" s="45"/>
      <c r="F587" s="45"/>
      <c r="G587" s="45"/>
      <c r="H587" s="45"/>
      <c r="I587" s="45"/>
      <c r="J587" s="45"/>
      <c r="K587" s="60"/>
      <c r="L587" s="45"/>
      <c r="M587" s="45"/>
      <c r="N587" s="46"/>
      <c r="O587" s="46"/>
      <c r="P587" s="49"/>
      <c r="Q587" s="52"/>
      <c r="R587" s="52"/>
      <c r="S587" s="52"/>
      <c r="T587" s="30"/>
    </row>
    <row r="588" spans="2:20" ht="14.15" customHeight="1" x14ac:dyDescent="0.6">
      <c r="B588" s="50"/>
      <c r="C588" s="50"/>
      <c r="D588" s="50"/>
      <c r="E588" s="45"/>
      <c r="F588" s="45"/>
      <c r="G588" s="45"/>
      <c r="H588" s="45"/>
      <c r="I588" s="45"/>
      <c r="J588" s="45"/>
      <c r="K588" s="60"/>
      <c r="L588" s="45"/>
      <c r="M588" s="45"/>
      <c r="N588" s="46"/>
      <c r="O588" s="46"/>
      <c r="P588" s="49"/>
      <c r="Q588" s="52"/>
      <c r="R588" s="52"/>
      <c r="S588" s="52"/>
      <c r="T588" s="30"/>
    </row>
    <row r="589" spans="2:20" ht="14.15" customHeight="1" x14ac:dyDescent="0.6">
      <c r="B589" s="50"/>
      <c r="C589" s="50"/>
      <c r="D589" s="50"/>
      <c r="E589" s="45"/>
      <c r="F589" s="45"/>
      <c r="G589" s="45"/>
      <c r="H589" s="45"/>
      <c r="I589" s="45"/>
      <c r="J589" s="45"/>
      <c r="K589" s="60"/>
      <c r="L589" s="45"/>
      <c r="M589" s="45"/>
      <c r="N589" s="46"/>
      <c r="O589" s="46"/>
      <c r="P589" s="49"/>
      <c r="Q589" s="52"/>
      <c r="R589" s="52"/>
      <c r="S589" s="52"/>
      <c r="T589" s="30"/>
    </row>
    <row r="590" spans="2:20" ht="14.15" customHeight="1" x14ac:dyDescent="0.6">
      <c r="B590" s="50"/>
      <c r="C590" s="50"/>
      <c r="D590" s="50"/>
      <c r="E590" s="45"/>
      <c r="F590" s="45"/>
      <c r="G590" s="45"/>
      <c r="H590" s="45"/>
      <c r="I590" s="45"/>
      <c r="J590" s="45"/>
      <c r="K590" s="60"/>
      <c r="L590" s="45"/>
      <c r="M590" s="45"/>
      <c r="N590" s="46"/>
      <c r="O590" s="46"/>
      <c r="P590" s="49"/>
      <c r="Q590" s="52"/>
      <c r="R590" s="52"/>
      <c r="S590" s="52"/>
      <c r="T590" s="30"/>
    </row>
    <row r="591" spans="2:20" ht="14.15" customHeight="1" x14ac:dyDescent="0.6">
      <c r="B591" s="50"/>
      <c r="C591" s="50"/>
      <c r="D591" s="50"/>
      <c r="E591" s="45"/>
      <c r="F591" s="45"/>
      <c r="G591" s="45"/>
      <c r="H591" s="45"/>
      <c r="I591" s="45"/>
      <c r="J591" s="45"/>
      <c r="K591" s="60"/>
      <c r="L591" s="45"/>
      <c r="M591" s="45"/>
      <c r="N591" s="46"/>
      <c r="O591" s="46"/>
      <c r="P591" s="49"/>
      <c r="Q591" s="52"/>
      <c r="R591" s="52"/>
      <c r="S591" s="52"/>
      <c r="T591" s="30"/>
    </row>
    <row r="592" spans="2:20" ht="14.15" customHeight="1" x14ac:dyDescent="0.6">
      <c r="B592" s="50"/>
      <c r="C592" s="50"/>
      <c r="D592" s="50"/>
      <c r="E592" s="45"/>
      <c r="F592" s="45"/>
      <c r="G592" s="45"/>
      <c r="H592" s="45"/>
      <c r="I592" s="45"/>
      <c r="J592" s="45"/>
      <c r="K592" s="60"/>
      <c r="L592" s="45"/>
      <c r="M592" s="45"/>
      <c r="N592" s="46"/>
      <c r="O592" s="46"/>
      <c r="P592" s="49"/>
      <c r="Q592" s="52"/>
      <c r="R592" s="52"/>
      <c r="S592" s="52"/>
      <c r="T592" s="30"/>
    </row>
    <row r="593" spans="2:20" ht="14.15" customHeight="1" x14ac:dyDescent="0.6">
      <c r="B593" s="50"/>
      <c r="C593" s="50"/>
      <c r="D593" s="50"/>
      <c r="E593" s="45"/>
      <c r="F593" s="45"/>
      <c r="G593" s="45"/>
      <c r="H593" s="45"/>
      <c r="I593" s="45"/>
      <c r="J593" s="45"/>
      <c r="K593" s="60"/>
      <c r="L593" s="45"/>
      <c r="M593" s="45"/>
      <c r="N593" s="46"/>
      <c r="O593" s="46"/>
      <c r="P593" s="49"/>
      <c r="Q593" s="52"/>
      <c r="R593" s="52"/>
      <c r="S593" s="52"/>
      <c r="T593" s="30"/>
    </row>
    <row r="594" spans="2:20" ht="14.15" customHeight="1" x14ac:dyDescent="0.6">
      <c r="B594" s="50"/>
      <c r="C594" s="50"/>
      <c r="D594" s="50"/>
      <c r="E594" s="45"/>
      <c r="F594" s="45"/>
      <c r="G594" s="45"/>
      <c r="H594" s="45"/>
      <c r="I594" s="45"/>
      <c r="J594" s="45"/>
      <c r="K594" s="60"/>
      <c r="L594" s="45"/>
      <c r="M594" s="45"/>
      <c r="N594" s="46"/>
      <c r="O594" s="46"/>
      <c r="P594" s="49"/>
      <c r="Q594" s="52"/>
      <c r="R594" s="52"/>
      <c r="S594" s="52"/>
      <c r="T594" s="30"/>
    </row>
    <row r="595" spans="2:20" ht="14.15" customHeight="1" x14ac:dyDescent="0.6">
      <c r="B595" s="50"/>
      <c r="C595" s="50"/>
      <c r="D595" s="50"/>
      <c r="E595" s="45"/>
      <c r="F595" s="45"/>
      <c r="G595" s="45"/>
      <c r="H595" s="45"/>
      <c r="I595" s="45"/>
      <c r="J595" s="45"/>
      <c r="K595" s="60"/>
      <c r="L595" s="45"/>
      <c r="M595" s="45"/>
      <c r="N595" s="46"/>
      <c r="O595" s="46"/>
      <c r="P595" s="49"/>
      <c r="Q595" s="52"/>
      <c r="R595" s="52"/>
      <c r="S595" s="52"/>
      <c r="T595" s="30"/>
    </row>
    <row r="596" spans="2:20" ht="14.15" customHeight="1" x14ac:dyDescent="0.6">
      <c r="B596" s="50"/>
      <c r="C596" s="50"/>
      <c r="D596" s="50"/>
      <c r="E596" s="45"/>
      <c r="F596" s="45"/>
      <c r="G596" s="45"/>
      <c r="H596" s="45"/>
      <c r="I596" s="45"/>
      <c r="J596" s="45"/>
      <c r="K596" s="60"/>
      <c r="L596" s="45"/>
      <c r="M596" s="45"/>
      <c r="N596" s="46"/>
      <c r="O596" s="46"/>
      <c r="P596" s="49"/>
      <c r="Q596" s="52"/>
      <c r="R596" s="52"/>
      <c r="S596" s="52"/>
      <c r="T596" s="30"/>
    </row>
    <row r="597" spans="2:20" ht="14.15" customHeight="1" x14ac:dyDescent="0.6">
      <c r="B597" s="50"/>
      <c r="C597" s="50"/>
      <c r="D597" s="50"/>
      <c r="E597" s="45"/>
      <c r="F597" s="45"/>
      <c r="G597" s="45"/>
      <c r="H597" s="45"/>
      <c r="I597" s="45"/>
      <c r="J597" s="45"/>
      <c r="K597" s="60"/>
      <c r="L597" s="45"/>
      <c r="M597" s="45"/>
      <c r="N597" s="46"/>
      <c r="O597" s="46"/>
      <c r="P597" s="49"/>
      <c r="Q597" s="52"/>
      <c r="R597" s="52"/>
      <c r="S597" s="52"/>
      <c r="T597" s="30"/>
    </row>
    <row r="598" spans="2:20" ht="14.15" customHeight="1" x14ac:dyDescent="0.6">
      <c r="B598" s="50"/>
      <c r="C598" s="50"/>
      <c r="D598" s="50"/>
      <c r="E598" s="45"/>
      <c r="F598" s="45"/>
      <c r="G598" s="45"/>
      <c r="H598" s="45"/>
      <c r="I598" s="45"/>
      <c r="J598" s="45"/>
      <c r="K598" s="60"/>
      <c r="L598" s="45"/>
      <c r="M598" s="45"/>
      <c r="N598" s="46"/>
      <c r="O598" s="46"/>
      <c r="P598" s="49"/>
      <c r="Q598" s="52"/>
      <c r="R598" s="52"/>
      <c r="S598" s="52"/>
      <c r="T598" s="30"/>
    </row>
    <row r="599" spans="2:20" ht="14.15" customHeight="1" x14ac:dyDescent="0.6">
      <c r="B599" s="50"/>
      <c r="C599" s="50"/>
      <c r="D599" s="50"/>
      <c r="E599" s="45"/>
      <c r="F599" s="45"/>
      <c r="G599" s="45"/>
      <c r="H599" s="45"/>
      <c r="I599" s="45"/>
      <c r="J599" s="45"/>
      <c r="K599" s="60"/>
      <c r="L599" s="45"/>
      <c r="M599" s="45"/>
      <c r="N599" s="46"/>
      <c r="O599" s="46"/>
      <c r="P599" s="49"/>
      <c r="Q599" s="52"/>
      <c r="R599" s="52"/>
      <c r="S599" s="52"/>
      <c r="T599" s="30"/>
    </row>
    <row r="600" spans="2:20" ht="14.15" customHeight="1" x14ac:dyDescent="0.6">
      <c r="B600" s="50"/>
      <c r="C600" s="50"/>
      <c r="D600" s="50"/>
      <c r="E600" s="45"/>
      <c r="F600" s="45"/>
      <c r="G600" s="45"/>
      <c r="H600" s="45"/>
      <c r="I600" s="45"/>
      <c r="J600" s="45"/>
      <c r="K600" s="60"/>
      <c r="L600" s="45"/>
      <c r="M600" s="45"/>
      <c r="N600" s="46"/>
      <c r="O600" s="46"/>
      <c r="P600" s="49"/>
      <c r="Q600" s="52"/>
      <c r="R600" s="52"/>
      <c r="S600" s="52"/>
      <c r="T600" s="30"/>
    </row>
    <row r="601" spans="2:20" ht="14.15" customHeight="1" x14ac:dyDescent="0.6">
      <c r="B601" s="50"/>
      <c r="C601" s="50"/>
      <c r="D601" s="50"/>
      <c r="E601" s="45"/>
      <c r="F601" s="45"/>
      <c r="G601" s="45"/>
      <c r="H601" s="45"/>
      <c r="I601" s="45"/>
      <c r="J601" s="45"/>
      <c r="K601" s="60"/>
      <c r="L601" s="45"/>
      <c r="M601" s="45"/>
      <c r="N601" s="46"/>
      <c r="O601" s="46"/>
      <c r="P601" s="49"/>
      <c r="Q601" s="52"/>
      <c r="R601" s="52"/>
      <c r="S601" s="52"/>
      <c r="T601" s="30"/>
    </row>
    <row r="602" spans="2:20" ht="14.15" customHeight="1" x14ac:dyDescent="0.6">
      <c r="B602" s="50"/>
      <c r="C602" s="50"/>
      <c r="D602" s="50"/>
      <c r="E602" s="45"/>
      <c r="F602" s="45"/>
      <c r="G602" s="45"/>
      <c r="H602" s="45"/>
      <c r="I602" s="45"/>
      <c r="J602" s="45"/>
      <c r="K602" s="60"/>
      <c r="L602" s="45"/>
      <c r="M602" s="45"/>
      <c r="N602" s="46"/>
      <c r="O602" s="46"/>
      <c r="P602" s="49"/>
      <c r="Q602" s="52"/>
      <c r="R602" s="52"/>
      <c r="S602" s="52"/>
      <c r="T602" s="30"/>
    </row>
    <row r="603" spans="2:20" ht="14.15" customHeight="1" x14ac:dyDescent="0.6">
      <c r="B603" s="50"/>
      <c r="C603" s="50"/>
      <c r="D603" s="50"/>
      <c r="E603" s="45"/>
      <c r="F603" s="45"/>
      <c r="G603" s="45"/>
      <c r="H603" s="45"/>
      <c r="I603" s="45"/>
      <c r="J603" s="45"/>
      <c r="K603" s="60"/>
      <c r="L603" s="45"/>
      <c r="M603" s="45"/>
      <c r="N603" s="46"/>
      <c r="O603" s="46"/>
      <c r="P603" s="49"/>
      <c r="Q603" s="52"/>
      <c r="R603" s="52"/>
      <c r="S603" s="52"/>
      <c r="T603" s="30"/>
    </row>
    <row r="604" spans="2:20" ht="14.15" customHeight="1" x14ac:dyDescent="0.6">
      <c r="B604" s="50"/>
      <c r="C604" s="50"/>
      <c r="D604" s="50"/>
      <c r="E604" s="45"/>
      <c r="F604" s="45"/>
      <c r="G604" s="45"/>
      <c r="H604" s="45"/>
      <c r="I604" s="45"/>
      <c r="J604" s="45"/>
      <c r="K604" s="60"/>
      <c r="L604" s="45"/>
      <c r="M604" s="45"/>
      <c r="N604" s="46"/>
      <c r="O604" s="46"/>
      <c r="P604" s="49"/>
      <c r="Q604" s="52"/>
      <c r="R604" s="52"/>
      <c r="S604" s="52"/>
      <c r="T604" s="30"/>
    </row>
    <row r="605" spans="2:20" ht="14.15" customHeight="1" x14ac:dyDescent="0.6">
      <c r="B605" s="50"/>
      <c r="C605" s="50"/>
      <c r="D605" s="50"/>
      <c r="E605" s="45"/>
      <c r="F605" s="45"/>
      <c r="G605" s="45"/>
      <c r="H605" s="45"/>
      <c r="I605" s="45"/>
      <c r="J605" s="45"/>
      <c r="K605" s="60"/>
      <c r="L605" s="45"/>
      <c r="M605" s="45"/>
      <c r="N605" s="46"/>
      <c r="O605" s="46"/>
      <c r="P605" s="49"/>
      <c r="Q605" s="52"/>
      <c r="R605" s="52"/>
      <c r="S605" s="52"/>
      <c r="T605" s="30"/>
    </row>
    <row r="606" spans="2:20" ht="14.15" customHeight="1" x14ac:dyDescent="0.6">
      <c r="B606" s="50"/>
      <c r="C606" s="50"/>
      <c r="D606" s="50"/>
      <c r="E606" s="45"/>
      <c r="F606" s="45"/>
      <c r="G606" s="45"/>
      <c r="H606" s="45"/>
      <c r="I606" s="45"/>
      <c r="J606" s="45"/>
      <c r="K606" s="60"/>
      <c r="L606" s="45"/>
      <c r="M606" s="45"/>
      <c r="N606" s="46"/>
      <c r="O606" s="46"/>
      <c r="P606" s="49"/>
      <c r="Q606" s="52"/>
      <c r="R606" s="52"/>
      <c r="S606" s="52"/>
      <c r="T606" s="30"/>
    </row>
    <row r="607" spans="2:20" ht="14.15" customHeight="1" x14ac:dyDescent="0.6">
      <c r="B607" s="50"/>
      <c r="C607" s="50"/>
      <c r="D607" s="50"/>
      <c r="E607" s="45"/>
      <c r="F607" s="45"/>
      <c r="G607" s="45"/>
      <c r="H607" s="45"/>
      <c r="I607" s="45"/>
      <c r="J607" s="45"/>
      <c r="K607" s="60"/>
      <c r="L607" s="45"/>
      <c r="M607" s="45"/>
      <c r="N607" s="46"/>
      <c r="O607" s="46"/>
      <c r="P607" s="49"/>
      <c r="Q607" s="52"/>
      <c r="R607" s="52"/>
      <c r="S607" s="52"/>
      <c r="T607" s="30"/>
    </row>
    <row r="608" spans="2:20" ht="14.15" customHeight="1" x14ac:dyDescent="0.6">
      <c r="B608" s="50"/>
      <c r="C608" s="50"/>
      <c r="D608" s="50"/>
      <c r="E608" s="45"/>
      <c r="F608" s="45"/>
      <c r="G608" s="45"/>
      <c r="H608" s="45"/>
      <c r="I608" s="45"/>
      <c r="J608" s="45"/>
      <c r="K608" s="60"/>
      <c r="L608" s="45"/>
      <c r="M608" s="45"/>
      <c r="N608" s="46"/>
      <c r="O608" s="46"/>
      <c r="P608" s="49"/>
      <c r="Q608" s="52"/>
      <c r="R608" s="52"/>
      <c r="S608" s="52"/>
      <c r="T608" s="30"/>
    </row>
    <row r="609" spans="1:89" ht="14.15" customHeight="1" x14ac:dyDescent="0.6">
      <c r="B609" s="50"/>
      <c r="C609" s="50"/>
      <c r="D609" s="50"/>
      <c r="E609" s="45"/>
      <c r="F609" s="45"/>
      <c r="G609" s="45"/>
      <c r="H609" s="45"/>
      <c r="I609" s="45"/>
      <c r="J609" s="45"/>
      <c r="K609" s="60"/>
      <c r="L609" s="45"/>
      <c r="M609" s="45"/>
      <c r="N609" s="46"/>
      <c r="O609" s="46"/>
      <c r="P609" s="49"/>
      <c r="Q609" s="52"/>
      <c r="R609" s="52"/>
      <c r="S609" s="52"/>
      <c r="T609" s="30"/>
    </row>
    <row r="610" spans="1:89" ht="14.15" customHeight="1" x14ac:dyDescent="0.6">
      <c r="B610" s="50"/>
      <c r="C610" s="50"/>
      <c r="D610" s="50"/>
      <c r="E610" s="45"/>
      <c r="F610" s="45"/>
      <c r="G610" s="45"/>
      <c r="H610" s="45"/>
      <c r="I610" s="45"/>
      <c r="J610" s="45"/>
      <c r="K610" s="60"/>
      <c r="L610" s="45"/>
      <c r="M610" s="45"/>
      <c r="N610" s="46"/>
      <c r="O610" s="46"/>
      <c r="P610" s="49"/>
      <c r="Q610" s="52"/>
      <c r="R610" s="52"/>
      <c r="S610" s="52"/>
      <c r="T610" s="30"/>
    </row>
    <row r="611" spans="1:89" ht="14.15" customHeight="1" x14ac:dyDescent="0.6">
      <c r="B611" s="50"/>
      <c r="C611" s="50"/>
      <c r="D611" s="50"/>
      <c r="E611" s="45"/>
      <c r="F611" s="45"/>
      <c r="G611" s="45"/>
      <c r="H611" s="45"/>
      <c r="I611" s="45"/>
      <c r="J611" s="45"/>
      <c r="K611" s="60"/>
      <c r="L611" s="45"/>
      <c r="M611" s="45"/>
      <c r="N611" s="46"/>
      <c r="O611" s="46"/>
      <c r="P611" s="49"/>
      <c r="Q611" s="52"/>
      <c r="R611" s="52"/>
      <c r="S611" s="52"/>
      <c r="T611" s="30"/>
    </row>
    <row r="612" spans="1:89" ht="14.15" customHeight="1" x14ac:dyDescent="0.6">
      <c r="B612" s="50"/>
      <c r="C612" s="50"/>
      <c r="D612" s="50"/>
      <c r="E612" s="45"/>
      <c r="F612" s="45"/>
      <c r="G612" s="45"/>
      <c r="H612" s="45"/>
      <c r="I612" s="45"/>
      <c r="J612" s="45"/>
      <c r="K612" s="60"/>
      <c r="L612" s="45"/>
      <c r="M612" s="45"/>
      <c r="N612" s="46"/>
      <c r="O612" s="46"/>
      <c r="P612" s="49"/>
      <c r="Q612" s="52"/>
      <c r="R612" s="52"/>
      <c r="S612" s="52"/>
      <c r="T612" s="30"/>
    </row>
    <row r="613" spans="1:89" ht="14.15" customHeight="1" x14ac:dyDescent="0.6">
      <c r="B613" s="50"/>
      <c r="C613" s="50"/>
      <c r="D613" s="50"/>
      <c r="E613" s="45"/>
      <c r="F613" s="45"/>
      <c r="G613" s="45"/>
      <c r="H613" s="45"/>
      <c r="I613" s="45"/>
      <c r="J613" s="45"/>
      <c r="K613" s="60"/>
      <c r="L613" s="45"/>
      <c r="M613" s="45"/>
      <c r="N613" s="46"/>
      <c r="O613" s="46"/>
      <c r="P613" s="49"/>
      <c r="Q613" s="52"/>
      <c r="R613" s="52"/>
      <c r="S613" s="52"/>
      <c r="T613" s="30"/>
    </row>
    <row r="614" spans="1:89" ht="14.15" customHeight="1" x14ac:dyDescent="0.6">
      <c r="B614" s="50"/>
      <c r="C614" s="50"/>
      <c r="D614" s="50"/>
      <c r="E614" s="45"/>
      <c r="F614" s="45"/>
      <c r="G614" s="45"/>
      <c r="H614" s="45"/>
      <c r="I614" s="45"/>
      <c r="J614" s="45"/>
      <c r="K614" s="60"/>
      <c r="L614" s="45"/>
      <c r="M614" s="45"/>
      <c r="N614" s="46"/>
      <c r="O614" s="46"/>
      <c r="P614" s="49"/>
      <c r="Q614" s="52"/>
      <c r="R614" s="52"/>
      <c r="S614" s="52"/>
      <c r="T614" s="30"/>
    </row>
    <row r="615" spans="1:89" ht="14.15" customHeight="1" x14ac:dyDescent="0.6">
      <c r="B615" s="50"/>
      <c r="C615" s="50"/>
      <c r="D615" s="50"/>
      <c r="E615" s="45"/>
      <c r="F615" s="45"/>
      <c r="G615" s="45"/>
      <c r="H615" s="45"/>
      <c r="I615" s="45"/>
      <c r="J615" s="45"/>
      <c r="K615" s="60"/>
      <c r="L615" s="45"/>
      <c r="M615" s="45"/>
      <c r="N615" s="46"/>
      <c r="O615" s="46"/>
      <c r="P615" s="49"/>
      <c r="Q615" s="52"/>
      <c r="R615" s="52"/>
      <c r="S615" s="52"/>
      <c r="T615" s="30"/>
    </row>
    <row r="616" spans="1:89" ht="14.15" customHeight="1" x14ac:dyDescent="0.6">
      <c r="B616" s="50"/>
      <c r="C616" s="50"/>
      <c r="D616" s="50"/>
      <c r="E616" s="45"/>
      <c r="F616" s="45"/>
      <c r="G616" s="45"/>
      <c r="H616" s="45"/>
      <c r="I616" s="45"/>
      <c r="J616" s="45"/>
      <c r="K616" s="60"/>
      <c r="L616" s="45"/>
      <c r="M616" s="45"/>
      <c r="N616" s="46"/>
      <c r="O616" s="46"/>
      <c r="P616" s="49"/>
      <c r="Q616" s="52"/>
      <c r="R616" s="52"/>
      <c r="S616" s="52"/>
      <c r="T616" s="30"/>
    </row>
    <row r="617" spans="1:89" ht="14.15" customHeight="1" x14ac:dyDescent="0.6">
      <c r="B617" s="50"/>
      <c r="C617" s="50"/>
      <c r="D617" s="50"/>
      <c r="E617" s="45"/>
      <c r="F617" s="45"/>
      <c r="G617" s="45"/>
      <c r="H617" s="45"/>
      <c r="I617" s="45"/>
      <c r="J617" s="45"/>
      <c r="K617" s="60"/>
      <c r="L617" s="45"/>
      <c r="M617" s="45"/>
      <c r="N617" s="46"/>
      <c r="O617" s="46"/>
      <c r="P617" s="49"/>
      <c r="Q617" s="52"/>
      <c r="R617" s="52"/>
      <c r="S617" s="52"/>
      <c r="T617" s="30"/>
    </row>
    <row r="618" spans="1:89" ht="14.15" customHeight="1" x14ac:dyDescent="0.6">
      <c r="B618" s="50"/>
      <c r="C618" s="50"/>
      <c r="D618" s="50"/>
      <c r="E618" s="45"/>
      <c r="F618" s="45"/>
      <c r="G618" s="45"/>
      <c r="H618" s="45"/>
      <c r="I618" s="45"/>
      <c r="J618" s="45"/>
      <c r="K618" s="60"/>
      <c r="L618" s="45"/>
      <c r="M618" s="45"/>
      <c r="N618" s="46"/>
      <c r="O618" s="46"/>
      <c r="P618" s="49"/>
      <c r="Q618" s="52"/>
      <c r="R618" s="52"/>
      <c r="S618" s="52"/>
      <c r="T618" s="30"/>
    </row>
    <row r="619" spans="1:89" ht="14.15" customHeight="1" x14ac:dyDescent="0.6">
      <c r="B619" s="50"/>
      <c r="C619" s="50"/>
      <c r="D619" s="50"/>
      <c r="E619" s="45"/>
      <c r="F619" s="45"/>
      <c r="G619" s="45"/>
      <c r="H619" s="45"/>
      <c r="I619" s="45"/>
      <c r="J619" s="45"/>
      <c r="K619" s="60"/>
      <c r="L619" s="45"/>
      <c r="M619" s="45"/>
      <c r="N619" s="46"/>
      <c r="O619" s="46"/>
      <c r="P619" s="49"/>
      <c r="Q619" s="52"/>
      <c r="R619" s="52"/>
      <c r="S619" s="52"/>
      <c r="T619" s="30"/>
    </row>
    <row r="620" spans="1:89" ht="14.15" customHeight="1" x14ac:dyDescent="0.6">
      <c r="E620" s="53"/>
      <c r="M620" s="45"/>
      <c r="N620" s="46"/>
      <c r="O620" s="46"/>
      <c r="P620" s="49"/>
      <c r="Q620" s="52"/>
      <c r="R620" s="52"/>
      <c r="S620" s="52"/>
      <c r="T620" s="30"/>
    </row>
    <row r="621" spans="1:89" s="18" customFormat="1" ht="14.15" customHeight="1" x14ac:dyDescent="0.65">
      <c r="B621" s="20"/>
      <c r="C621" s="20"/>
      <c r="D621" s="20"/>
      <c r="E621" s="53"/>
      <c r="F621" s="21"/>
      <c r="G621" s="22"/>
      <c r="H621" s="22"/>
      <c r="I621" s="22"/>
      <c r="J621" s="23"/>
      <c r="K621" s="61"/>
      <c r="L621" s="19"/>
      <c r="M621" s="45"/>
      <c r="N621" s="46"/>
      <c r="O621" s="46"/>
      <c r="P621" s="49"/>
      <c r="Q621" s="52"/>
      <c r="R621" s="52"/>
      <c r="S621" s="52"/>
      <c r="T621" s="23"/>
      <c r="CK621" s="9"/>
    </row>
    <row r="622" spans="1:89" s="18" customFormat="1" ht="14.15" customHeight="1" x14ac:dyDescent="0.65">
      <c r="B622" s="20"/>
      <c r="C622" s="20"/>
      <c r="D622" s="20"/>
      <c r="E622" s="53"/>
      <c r="F622" s="21"/>
      <c r="G622" s="22"/>
      <c r="H622" s="22"/>
      <c r="I622" s="22"/>
      <c r="J622" s="23"/>
      <c r="K622" s="61"/>
      <c r="L622" s="19"/>
      <c r="M622" s="22"/>
      <c r="N622" s="23"/>
      <c r="O622" s="23"/>
      <c r="P622" s="23"/>
      <c r="Q622" s="23"/>
      <c r="R622" s="23"/>
      <c r="S622" s="23"/>
      <c r="T622" s="23"/>
    </row>
    <row r="623" spans="1:89" s="18" customFormat="1" ht="14.15" customHeight="1" x14ac:dyDescent="0.65">
      <c r="A623" s="9"/>
      <c r="B623" s="20"/>
      <c r="C623" s="20"/>
      <c r="D623" s="20"/>
      <c r="E623" s="53"/>
      <c r="F623" s="21"/>
      <c r="G623" s="22"/>
      <c r="H623" s="22"/>
      <c r="I623" s="22"/>
      <c r="J623" s="23"/>
      <c r="K623" s="61"/>
      <c r="L623" s="19"/>
      <c r="M623" s="22"/>
      <c r="N623" s="23"/>
      <c r="O623" s="23"/>
      <c r="P623" s="23"/>
      <c r="Q623" s="23"/>
      <c r="R623" s="23"/>
      <c r="S623" s="23"/>
      <c r="T623" s="23"/>
    </row>
    <row r="624" spans="1:89" ht="14.15" customHeight="1" x14ac:dyDescent="0.65">
      <c r="E624" s="53"/>
      <c r="CK624" s="18"/>
    </row>
    <row r="625" spans="5:5" ht="14.15" customHeight="1" x14ac:dyDescent="0.6">
      <c r="E625" s="53"/>
    </row>
    <row r="626" spans="5:5" ht="14.15" customHeight="1" x14ac:dyDescent="0.6">
      <c r="E626" s="53"/>
    </row>
    <row r="627" spans="5:5" ht="14.15" customHeight="1" x14ac:dyDescent="0.6">
      <c r="E627" s="53"/>
    </row>
    <row r="628" spans="5:5" ht="14.15" customHeight="1" x14ac:dyDescent="0.6">
      <c r="E628" s="53"/>
    </row>
    <row r="629" spans="5:5" ht="14.15" customHeight="1" x14ac:dyDescent="0.6">
      <c r="E629" s="53"/>
    </row>
    <row r="630" spans="5:5" ht="14.15" customHeight="1" x14ac:dyDescent="0.6">
      <c r="E630" s="53"/>
    </row>
    <row r="631" spans="5:5" ht="14.15" customHeight="1" x14ac:dyDescent="0.6">
      <c r="E631" s="53"/>
    </row>
    <row r="632" spans="5:5" ht="14.15" customHeight="1" x14ac:dyDescent="0.6">
      <c r="E632" s="53"/>
    </row>
    <row r="633" spans="5:5" ht="14.15" customHeight="1" x14ac:dyDescent="0.6">
      <c r="E633" s="53"/>
    </row>
    <row r="634" spans="5:5" ht="14.15" customHeight="1" x14ac:dyDescent="0.6">
      <c r="E634" s="53"/>
    </row>
    <row r="635" spans="5:5" ht="14.15" customHeight="1" x14ac:dyDescent="0.6">
      <c r="E635" s="53"/>
    </row>
    <row r="636" spans="5:5" ht="14.15" customHeight="1" x14ac:dyDescent="0.6">
      <c r="E636" s="53"/>
    </row>
    <row r="637" spans="5:5" ht="14.15" customHeight="1" x14ac:dyDescent="0.6">
      <c r="E637" s="53"/>
    </row>
    <row r="638" spans="5:5" ht="14.15" customHeight="1" x14ac:dyDescent="0.6">
      <c r="E638" s="53"/>
    </row>
    <row r="639" spans="5:5" ht="14.15" customHeight="1" x14ac:dyDescent="0.6">
      <c r="E639" s="53"/>
    </row>
    <row r="640" spans="5:5" x14ac:dyDescent="0.6">
      <c r="E640" s="53"/>
    </row>
    <row r="641" spans="5:5" x14ac:dyDescent="0.6">
      <c r="E641" s="53"/>
    </row>
    <row r="642" spans="5:5" x14ac:dyDescent="0.6">
      <c r="E642" s="53"/>
    </row>
    <row r="643" spans="5:5" x14ac:dyDescent="0.6">
      <c r="E643" s="53"/>
    </row>
    <row r="644" spans="5:5" x14ac:dyDescent="0.6">
      <c r="E644" s="53"/>
    </row>
    <row r="645" spans="5:5" x14ac:dyDescent="0.6">
      <c r="E645" s="53"/>
    </row>
    <row r="646" spans="5:5" x14ac:dyDescent="0.6">
      <c r="E646" s="53"/>
    </row>
    <row r="647" spans="5:5" x14ac:dyDescent="0.6">
      <c r="E647" s="53"/>
    </row>
    <row r="648" spans="5:5" x14ac:dyDescent="0.6">
      <c r="E648" s="53"/>
    </row>
    <row r="649" spans="5:5" x14ac:dyDescent="0.6">
      <c r="E649" s="53"/>
    </row>
    <row r="650" spans="5:5" x14ac:dyDescent="0.6">
      <c r="E650" s="53"/>
    </row>
    <row r="651" spans="5:5" x14ac:dyDescent="0.6">
      <c r="E651" s="53"/>
    </row>
    <row r="652" spans="5:5" x14ac:dyDescent="0.6">
      <c r="E652" s="53"/>
    </row>
    <row r="653" spans="5:5" x14ac:dyDescent="0.6">
      <c r="E653" s="53"/>
    </row>
    <row r="654" spans="5:5" x14ac:dyDescent="0.6">
      <c r="E654" s="53"/>
    </row>
    <row r="655" spans="5:5" x14ac:dyDescent="0.6">
      <c r="E655" s="53"/>
    </row>
    <row r="656" spans="5:5" x14ac:dyDescent="0.6">
      <c r="E656" s="53"/>
    </row>
    <row r="657" spans="5:5" x14ac:dyDescent="0.6">
      <c r="E657" s="53"/>
    </row>
    <row r="658" spans="5:5" x14ac:dyDescent="0.6">
      <c r="E658" s="53"/>
    </row>
    <row r="659" spans="5:5" x14ac:dyDescent="0.6">
      <c r="E659" s="53"/>
    </row>
    <row r="660" spans="5:5" x14ac:dyDescent="0.6">
      <c r="E660" s="53"/>
    </row>
    <row r="661" spans="5:5" x14ac:dyDescent="0.6">
      <c r="E661" s="53"/>
    </row>
    <row r="662" spans="5:5" x14ac:dyDescent="0.6">
      <c r="E662" s="53"/>
    </row>
    <row r="663" spans="5:5" x14ac:dyDescent="0.6">
      <c r="E663" s="53"/>
    </row>
    <row r="664" spans="5:5" x14ac:dyDescent="0.6">
      <c r="E664" s="53"/>
    </row>
    <row r="665" spans="5:5" x14ac:dyDescent="0.6">
      <c r="E665" s="53"/>
    </row>
    <row r="666" spans="5:5" x14ac:dyDescent="0.6">
      <c r="E666" s="53"/>
    </row>
    <row r="667" spans="5:5" x14ac:dyDescent="0.6">
      <c r="E667" s="53"/>
    </row>
    <row r="668" spans="5:5" x14ac:dyDescent="0.6">
      <c r="E668" s="53"/>
    </row>
    <row r="669" spans="5:5" x14ac:dyDescent="0.6">
      <c r="E669" s="53"/>
    </row>
    <row r="670" spans="5:5" x14ac:dyDescent="0.6">
      <c r="E670" s="53"/>
    </row>
    <row r="671" spans="5:5" x14ac:dyDescent="0.6">
      <c r="E671" s="53"/>
    </row>
    <row r="672" spans="5:5" x14ac:dyDescent="0.6">
      <c r="E672" s="53"/>
    </row>
    <row r="673" spans="5:5" x14ac:dyDescent="0.6">
      <c r="E673" s="53"/>
    </row>
    <row r="674" spans="5:5" x14ac:dyDescent="0.6">
      <c r="E674" s="53"/>
    </row>
    <row r="675" spans="5:5" x14ac:dyDescent="0.6">
      <c r="E675" s="53"/>
    </row>
    <row r="676" spans="5:5" x14ac:dyDescent="0.6">
      <c r="E676" s="53"/>
    </row>
    <row r="677" spans="5:5" x14ac:dyDescent="0.6">
      <c r="E677" s="53"/>
    </row>
    <row r="678" spans="5:5" x14ac:dyDescent="0.6">
      <c r="E678" s="53"/>
    </row>
    <row r="679" spans="5:5" x14ac:dyDescent="0.6">
      <c r="E679" s="53"/>
    </row>
    <row r="680" spans="5:5" x14ac:dyDescent="0.6">
      <c r="E680" s="53"/>
    </row>
    <row r="681" spans="5:5" x14ac:dyDescent="0.6">
      <c r="E681" s="53"/>
    </row>
    <row r="682" spans="5:5" x14ac:dyDescent="0.6">
      <c r="E682" s="53"/>
    </row>
    <row r="683" spans="5:5" x14ac:dyDescent="0.6">
      <c r="E683" s="53"/>
    </row>
    <row r="684" spans="5:5" x14ac:dyDescent="0.6">
      <c r="E684" s="53"/>
    </row>
    <row r="685" spans="5:5" x14ac:dyDescent="0.6">
      <c r="E685" s="53"/>
    </row>
    <row r="686" spans="5:5" x14ac:dyDescent="0.6">
      <c r="E686" s="53"/>
    </row>
    <row r="687" spans="5:5" x14ac:dyDescent="0.6">
      <c r="E687" s="53"/>
    </row>
    <row r="688" spans="5:5" x14ac:dyDescent="0.6">
      <c r="E688" s="53"/>
    </row>
    <row r="689" spans="5:5" x14ac:dyDescent="0.6">
      <c r="E689" s="53"/>
    </row>
    <row r="690" spans="5:5" x14ac:dyDescent="0.6">
      <c r="E690" s="53"/>
    </row>
    <row r="691" spans="5:5" x14ac:dyDescent="0.6">
      <c r="E691" s="53"/>
    </row>
    <row r="692" spans="5:5" x14ac:dyDescent="0.6">
      <c r="E692" s="53"/>
    </row>
    <row r="693" spans="5:5" x14ac:dyDescent="0.6">
      <c r="E693" s="53"/>
    </row>
    <row r="694" spans="5:5" x14ac:dyDescent="0.6">
      <c r="E694" s="53"/>
    </row>
    <row r="695" spans="5:5" x14ac:dyDescent="0.6">
      <c r="E695" s="53"/>
    </row>
    <row r="696" spans="5:5" x14ac:dyDescent="0.6">
      <c r="E696" s="53"/>
    </row>
    <row r="697" spans="5:5" x14ac:dyDescent="0.6">
      <c r="E697" s="53"/>
    </row>
    <row r="698" spans="5:5" x14ac:dyDescent="0.6">
      <c r="E698" s="53"/>
    </row>
    <row r="699" spans="5:5" x14ac:dyDescent="0.6">
      <c r="E699" s="53"/>
    </row>
    <row r="700" spans="5:5" x14ac:dyDescent="0.6">
      <c r="E700" s="53"/>
    </row>
    <row r="701" spans="5:5" x14ac:dyDescent="0.6">
      <c r="E701" s="53"/>
    </row>
    <row r="702" spans="5:5" x14ac:dyDescent="0.6">
      <c r="E702" s="53"/>
    </row>
    <row r="703" spans="5:5" x14ac:dyDescent="0.6">
      <c r="E703" s="53"/>
    </row>
    <row r="704" spans="5:5" x14ac:dyDescent="0.6">
      <c r="E704" s="53"/>
    </row>
    <row r="705" spans="5:5" x14ac:dyDescent="0.6">
      <c r="E705" s="53"/>
    </row>
    <row r="706" spans="5:5" x14ac:dyDescent="0.6">
      <c r="E706" s="53"/>
    </row>
    <row r="707" spans="5:5" x14ac:dyDescent="0.6">
      <c r="E707" s="53"/>
    </row>
    <row r="708" spans="5:5" x14ac:dyDescent="0.6">
      <c r="E708" s="53"/>
    </row>
    <row r="709" spans="5:5" x14ac:dyDescent="0.6">
      <c r="E709" s="53"/>
    </row>
    <row r="710" spans="5:5" x14ac:dyDescent="0.6">
      <c r="E710" s="53"/>
    </row>
    <row r="711" spans="5:5" x14ac:dyDescent="0.6">
      <c r="E711" s="53"/>
    </row>
    <row r="712" spans="5:5" x14ac:dyDescent="0.6">
      <c r="E712" s="53"/>
    </row>
    <row r="713" spans="5:5" x14ac:dyDescent="0.6">
      <c r="E713" s="53"/>
    </row>
    <row r="714" spans="5:5" x14ac:dyDescent="0.6">
      <c r="E714" s="53"/>
    </row>
    <row r="715" spans="5:5" x14ac:dyDescent="0.6">
      <c r="E715" s="53"/>
    </row>
    <row r="716" spans="5:5" x14ac:dyDescent="0.6">
      <c r="E716" s="53"/>
    </row>
    <row r="717" spans="5:5" x14ac:dyDescent="0.6">
      <c r="E717" s="53"/>
    </row>
    <row r="718" spans="5:5" x14ac:dyDescent="0.6">
      <c r="E718" s="53"/>
    </row>
    <row r="719" spans="5:5" x14ac:dyDescent="0.6">
      <c r="E719" s="53"/>
    </row>
    <row r="720" spans="5:5" x14ac:dyDescent="0.6">
      <c r="E720" s="53"/>
    </row>
    <row r="721" spans="5:5" x14ac:dyDescent="0.6">
      <c r="E721" s="53"/>
    </row>
    <row r="722" spans="5:5" x14ac:dyDescent="0.6">
      <c r="E722" s="53"/>
    </row>
    <row r="723" spans="5:5" x14ac:dyDescent="0.6">
      <c r="E723" s="53"/>
    </row>
    <row r="724" spans="5:5" x14ac:dyDescent="0.6">
      <c r="E724" s="53"/>
    </row>
    <row r="725" spans="5:5" x14ac:dyDescent="0.6">
      <c r="E725" s="53"/>
    </row>
    <row r="726" spans="5:5" x14ac:dyDescent="0.6">
      <c r="E726" s="53"/>
    </row>
    <row r="727" spans="5:5" x14ac:dyDescent="0.6">
      <c r="E727" s="53"/>
    </row>
    <row r="728" spans="5:5" x14ac:dyDescent="0.6">
      <c r="E728" s="53"/>
    </row>
    <row r="729" spans="5:5" x14ac:dyDescent="0.6">
      <c r="E729" s="53"/>
    </row>
    <row r="730" spans="5:5" x14ac:dyDescent="0.6">
      <c r="E730" s="53"/>
    </row>
    <row r="731" spans="5:5" x14ac:dyDescent="0.6">
      <c r="E731" s="53"/>
    </row>
    <row r="732" spans="5:5" x14ac:dyDescent="0.6">
      <c r="E732" s="53"/>
    </row>
    <row r="733" spans="5:5" x14ac:dyDescent="0.6">
      <c r="E733" s="53"/>
    </row>
    <row r="734" spans="5:5" x14ac:dyDescent="0.6">
      <c r="E734" s="53"/>
    </row>
    <row r="735" spans="5:5" x14ac:dyDescent="0.6">
      <c r="E735" s="53"/>
    </row>
    <row r="736" spans="5:5" x14ac:dyDescent="0.6">
      <c r="E736" s="53"/>
    </row>
    <row r="737" spans="5:5" x14ac:dyDescent="0.6">
      <c r="E737" s="53"/>
    </row>
    <row r="738" spans="5:5" x14ac:dyDescent="0.6">
      <c r="E738" s="53"/>
    </row>
    <row r="739" spans="5:5" x14ac:dyDescent="0.6">
      <c r="E739" s="53"/>
    </row>
    <row r="740" spans="5:5" x14ac:dyDescent="0.6">
      <c r="E740" s="53"/>
    </row>
    <row r="741" spans="5:5" x14ac:dyDescent="0.6">
      <c r="E741" s="53"/>
    </row>
    <row r="742" spans="5:5" x14ac:dyDescent="0.6">
      <c r="E742" s="53"/>
    </row>
    <row r="743" spans="5:5" x14ac:dyDescent="0.6">
      <c r="E743" s="53"/>
    </row>
    <row r="744" spans="5:5" x14ac:dyDescent="0.6">
      <c r="E744" s="53"/>
    </row>
    <row r="745" spans="5:5" x14ac:dyDescent="0.6">
      <c r="E745" s="53"/>
    </row>
    <row r="746" spans="5:5" x14ac:dyDescent="0.6">
      <c r="E746" s="53"/>
    </row>
    <row r="747" spans="5:5" x14ac:dyDescent="0.6">
      <c r="E747" s="53"/>
    </row>
    <row r="748" spans="5:5" x14ac:dyDescent="0.6">
      <c r="E748" s="53"/>
    </row>
    <row r="749" spans="5:5" x14ac:dyDescent="0.6">
      <c r="E749" s="53"/>
    </row>
    <row r="750" spans="5:5" x14ac:dyDescent="0.6">
      <c r="E750" s="53"/>
    </row>
    <row r="751" spans="5:5" x14ac:dyDescent="0.6">
      <c r="E751" s="53"/>
    </row>
    <row r="752" spans="5:5" x14ac:dyDescent="0.6">
      <c r="E752" s="53"/>
    </row>
    <row r="753" spans="5:5" x14ac:dyDescent="0.6">
      <c r="E753" s="53"/>
    </row>
    <row r="754" spans="5:5" x14ac:dyDescent="0.6">
      <c r="E754" s="53"/>
    </row>
    <row r="755" spans="5:5" x14ac:dyDescent="0.6">
      <c r="E755" s="53"/>
    </row>
    <row r="756" spans="5:5" x14ac:dyDescent="0.6">
      <c r="E756" s="53"/>
    </row>
    <row r="757" spans="5:5" x14ac:dyDescent="0.6">
      <c r="E757" s="53"/>
    </row>
    <row r="758" spans="5:5" x14ac:dyDescent="0.6">
      <c r="E758" s="53"/>
    </row>
    <row r="759" spans="5:5" x14ac:dyDescent="0.6">
      <c r="E759" s="53"/>
    </row>
    <row r="760" spans="5:5" x14ac:dyDescent="0.6">
      <c r="E760" s="53"/>
    </row>
    <row r="761" spans="5:5" x14ac:dyDescent="0.6">
      <c r="E761" s="53"/>
    </row>
    <row r="762" spans="5:5" x14ac:dyDescent="0.6">
      <c r="E762" s="53"/>
    </row>
    <row r="763" spans="5:5" x14ac:dyDescent="0.6">
      <c r="E763" s="53"/>
    </row>
    <row r="764" spans="5:5" x14ac:dyDescent="0.6">
      <c r="E764" s="53"/>
    </row>
    <row r="765" spans="5:5" x14ac:dyDescent="0.6">
      <c r="E765" s="53"/>
    </row>
    <row r="766" spans="5:5" x14ac:dyDescent="0.6">
      <c r="E766" s="53"/>
    </row>
    <row r="767" spans="5:5" x14ac:dyDescent="0.6">
      <c r="E767" s="53"/>
    </row>
    <row r="768" spans="5:5" x14ac:dyDescent="0.6">
      <c r="E768" s="53"/>
    </row>
    <row r="769" spans="5:5" x14ac:dyDescent="0.6">
      <c r="E769" s="53"/>
    </row>
    <row r="770" spans="5:5" x14ac:dyDescent="0.6">
      <c r="E770" s="53"/>
    </row>
    <row r="771" spans="5:5" x14ac:dyDescent="0.6">
      <c r="E771" s="53"/>
    </row>
    <row r="772" spans="5:5" x14ac:dyDescent="0.6">
      <c r="E772" s="53"/>
    </row>
    <row r="773" spans="5:5" x14ac:dyDescent="0.6">
      <c r="E773" s="53"/>
    </row>
    <row r="774" spans="5:5" x14ac:dyDescent="0.6">
      <c r="E774" s="53"/>
    </row>
    <row r="775" spans="5:5" x14ac:dyDescent="0.6">
      <c r="E775" s="53"/>
    </row>
    <row r="776" spans="5:5" x14ac:dyDescent="0.6">
      <c r="E776" s="53"/>
    </row>
    <row r="777" spans="5:5" x14ac:dyDescent="0.6">
      <c r="E777" s="53"/>
    </row>
    <row r="778" spans="5:5" x14ac:dyDescent="0.6">
      <c r="E778" s="53"/>
    </row>
    <row r="779" spans="5:5" x14ac:dyDescent="0.6">
      <c r="E779" s="53"/>
    </row>
    <row r="780" spans="5:5" x14ac:dyDescent="0.6">
      <c r="E780" s="53"/>
    </row>
    <row r="781" spans="5:5" x14ac:dyDescent="0.6">
      <c r="E781" s="53"/>
    </row>
    <row r="782" spans="5:5" x14ac:dyDescent="0.6">
      <c r="E782" s="53"/>
    </row>
    <row r="783" spans="5:5" x14ac:dyDescent="0.6">
      <c r="E783" s="53"/>
    </row>
    <row r="784" spans="5:5" x14ac:dyDescent="0.6">
      <c r="E784" s="53"/>
    </row>
    <row r="785" spans="5:5" x14ac:dyDescent="0.6">
      <c r="E785" s="53"/>
    </row>
    <row r="786" spans="5:5" x14ac:dyDescent="0.6">
      <c r="E786" s="53"/>
    </row>
    <row r="787" spans="5:5" x14ac:dyDescent="0.6">
      <c r="E787" s="53"/>
    </row>
    <row r="788" spans="5:5" x14ac:dyDescent="0.6">
      <c r="E788" s="53"/>
    </row>
    <row r="789" spans="5:5" x14ac:dyDescent="0.6">
      <c r="E789" s="53"/>
    </row>
    <row r="790" spans="5:5" x14ac:dyDescent="0.6">
      <c r="E790" s="53"/>
    </row>
    <row r="791" spans="5:5" x14ac:dyDescent="0.6">
      <c r="E791" s="53"/>
    </row>
    <row r="792" spans="5:5" x14ac:dyDescent="0.6">
      <c r="E792" s="53"/>
    </row>
    <row r="793" spans="5:5" x14ac:dyDescent="0.6">
      <c r="E793" s="53"/>
    </row>
    <row r="794" spans="5:5" x14ac:dyDescent="0.6">
      <c r="E794" s="53"/>
    </row>
    <row r="795" spans="5:5" x14ac:dyDescent="0.6">
      <c r="E795" s="53"/>
    </row>
    <row r="796" spans="5:5" x14ac:dyDescent="0.6">
      <c r="E796" s="53"/>
    </row>
    <row r="797" spans="5:5" x14ac:dyDescent="0.6">
      <c r="E797" s="53"/>
    </row>
    <row r="798" spans="5:5" x14ac:dyDescent="0.6">
      <c r="E798" s="53"/>
    </row>
    <row r="799" spans="5:5" x14ac:dyDescent="0.6">
      <c r="E799" s="53"/>
    </row>
    <row r="800" spans="5:5" x14ac:dyDescent="0.6">
      <c r="E800" s="53"/>
    </row>
    <row r="801" spans="5:5" x14ac:dyDescent="0.6">
      <c r="E801" s="53"/>
    </row>
    <row r="802" spans="5:5" x14ac:dyDescent="0.6">
      <c r="E802" s="53"/>
    </row>
    <row r="803" spans="5:5" x14ac:dyDescent="0.6">
      <c r="E803" s="53"/>
    </row>
    <row r="804" spans="5:5" x14ac:dyDescent="0.6">
      <c r="E804" s="53"/>
    </row>
    <row r="805" spans="5:5" x14ac:dyDescent="0.6">
      <c r="E805" s="53"/>
    </row>
    <row r="806" spans="5:5" x14ac:dyDescent="0.6">
      <c r="E806" s="53"/>
    </row>
    <row r="807" spans="5:5" x14ac:dyDescent="0.6">
      <c r="E807" s="53"/>
    </row>
    <row r="808" spans="5:5" x14ac:dyDescent="0.6">
      <c r="E808" s="53"/>
    </row>
    <row r="809" spans="5:5" x14ac:dyDescent="0.6">
      <c r="E809" s="53"/>
    </row>
    <row r="810" spans="5:5" x14ac:dyDescent="0.6">
      <c r="E810" s="53"/>
    </row>
    <row r="811" spans="5:5" x14ac:dyDescent="0.6">
      <c r="E811" s="53"/>
    </row>
    <row r="812" spans="5:5" x14ac:dyDescent="0.6">
      <c r="E812" s="53"/>
    </row>
    <row r="813" spans="5:5" x14ac:dyDescent="0.6">
      <c r="E813" s="53"/>
    </row>
    <row r="814" spans="5:5" x14ac:dyDescent="0.6">
      <c r="E814" s="53"/>
    </row>
    <row r="815" spans="5:5" x14ac:dyDescent="0.6">
      <c r="E815" s="53"/>
    </row>
    <row r="816" spans="5:5" x14ac:dyDescent="0.6">
      <c r="E816" s="53"/>
    </row>
    <row r="817" spans="5:5" x14ac:dyDescent="0.6">
      <c r="E817" s="53"/>
    </row>
    <row r="818" spans="5:5" x14ac:dyDescent="0.6">
      <c r="E818" s="53"/>
    </row>
    <row r="819" spans="5:5" x14ac:dyDescent="0.6">
      <c r="E819" s="53"/>
    </row>
    <row r="820" spans="5:5" x14ac:dyDescent="0.6">
      <c r="E820" s="53"/>
    </row>
    <row r="821" spans="5:5" x14ac:dyDescent="0.6">
      <c r="E821" s="53"/>
    </row>
    <row r="822" spans="5:5" x14ac:dyDescent="0.6">
      <c r="E822" s="53"/>
    </row>
    <row r="823" spans="5:5" x14ac:dyDescent="0.6">
      <c r="E823" s="53"/>
    </row>
    <row r="824" spans="5:5" x14ac:dyDescent="0.6">
      <c r="E824" s="53"/>
    </row>
    <row r="825" spans="5:5" x14ac:dyDescent="0.6">
      <c r="E825" s="53"/>
    </row>
    <row r="826" spans="5:5" x14ac:dyDescent="0.6">
      <c r="E826" s="53"/>
    </row>
    <row r="827" spans="5:5" x14ac:dyDescent="0.6">
      <c r="E827" s="53"/>
    </row>
    <row r="828" spans="5:5" x14ac:dyDescent="0.6">
      <c r="E828" s="53"/>
    </row>
    <row r="829" spans="5:5" x14ac:dyDescent="0.6">
      <c r="E829" s="53"/>
    </row>
    <row r="830" spans="5:5" x14ac:dyDescent="0.6">
      <c r="E830" s="53"/>
    </row>
    <row r="831" spans="5:5" x14ac:dyDescent="0.6">
      <c r="E831" s="53"/>
    </row>
    <row r="832" spans="5:5" x14ac:dyDescent="0.6">
      <c r="E832" s="53"/>
    </row>
    <row r="833" spans="5:5" x14ac:dyDescent="0.6">
      <c r="E833" s="53"/>
    </row>
    <row r="834" spans="5:5" x14ac:dyDescent="0.6">
      <c r="E834" s="53"/>
    </row>
    <row r="835" spans="5:5" x14ac:dyDescent="0.6">
      <c r="E835" s="53"/>
    </row>
    <row r="836" spans="5:5" x14ac:dyDescent="0.6">
      <c r="E836" s="53"/>
    </row>
    <row r="837" spans="5:5" x14ac:dyDescent="0.6">
      <c r="E837" s="53"/>
    </row>
    <row r="838" spans="5:5" x14ac:dyDescent="0.6">
      <c r="E838" s="53"/>
    </row>
    <row r="839" spans="5:5" x14ac:dyDescent="0.6">
      <c r="E839" s="53"/>
    </row>
    <row r="840" spans="5:5" x14ac:dyDescent="0.6">
      <c r="E840" s="53"/>
    </row>
    <row r="841" spans="5:5" x14ac:dyDescent="0.6">
      <c r="E841" s="53"/>
    </row>
    <row r="842" spans="5:5" x14ac:dyDescent="0.6">
      <c r="E842" s="53"/>
    </row>
    <row r="843" spans="5:5" x14ac:dyDescent="0.6">
      <c r="E843" s="53"/>
    </row>
    <row r="844" spans="5:5" x14ac:dyDescent="0.6">
      <c r="E844" s="53"/>
    </row>
    <row r="845" spans="5:5" x14ac:dyDescent="0.6">
      <c r="E845" s="53"/>
    </row>
    <row r="846" spans="5:5" x14ac:dyDescent="0.6">
      <c r="E846" s="53"/>
    </row>
    <row r="847" spans="5:5" x14ac:dyDescent="0.6">
      <c r="E847" s="53"/>
    </row>
    <row r="848" spans="5:5" x14ac:dyDescent="0.6">
      <c r="E848" s="53"/>
    </row>
    <row r="849" spans="5:5" x14ac:dyDescent="0.6">
      <c r="E849" s="53"/>
    </row>
    <row r="850" spans="5:5" x14ac:dyDescent="0.6">
      <c r="E850" s="53"/>
    </row>
    <row r="851" spans="5:5" x14ac:dyDescent="0.6">
      <c r="E851" s="53"/>
    </row>
    <row r="852" spans="5:5" x14ac:dyDescent="0.6">
      <c r="E852" s="53"/>
    </row>
    <row r="853" spans="5:5" x14ac:dyDescent="0.6">
      <c r="E853" s="53"/>
    </row>
    <row r="854" spans="5:5" x14ac:dyDescent="0.6">
      <c r="E854" s="53"/>
    </row>
    <row r="855" spans="5:5" x14ac:dyDescent="0.6">
      <c r="E855" s="53"/>
    </row>
    <row r="856" spans="5:5" x14ac:dyDescent="0.6">
      <c r="E856" s="53"/>
    </row>
    <row r="857" spans="5:5" x14ac:dyDescent="0.6">
      <c r="E857" s="53"/>
    </row>
    <row r="858" spans="5:5" x14ac:dyDescent="0.6">
      <c r="E858" s="53"/>
    </row>
    <row r="859" spans="5:5" x14ac:dyDescent="0.6">
      <c r="E859" s="53"/>
    </row>
    <row r="860" spans="5:5" x14ac:dyDescent="0.6">
      <c r="E860" s="53"/>
    </row>
    <row r="861" spans="5:5" x14ac:dyDescent="0.6">
      <c r="E861" s="53"/>
    </row>
    <row r="862" spans="5:5" x14ac:dyDescent="0.6">
      <c r="E862" s="53"/>
    </row>
    <row r="863" spans="5:5" x14ac:dyDescent="0.6">
      <c r="E863" s="53"/>
    </row>
    <row r="864" spans="5:5" x14ac:dyDescent="0.6">
      <c r="E864" s="53"/>
    </row>
    <row r="865" spans="5:5" x14ac:dyDescent="0.6">
      <c r="E865" s="53"/>
    </row>
    <row r="866" spans="5:5" x14ac:dyDescent="0.6">
      <c r="E866" s="53"/>
    </row>
    <row r="867" spans="5:5" x14ac:dyDescent="0.6">
      <c r="E867" s="53"/>
    </row>
    <row r="868" spans="5:5" x14ac:dyDescent="0.6">
      <c r="E868" s="53"/>
    </row>
    <row r="869" spans="5:5" x14ac:dyDescent="0.6">
      <c r="E869" s="53"/>
    </row>
    <row r="870" spans="5:5" x14ac:dyDescent="0.6">
      <c r="E870" s="53"/>
    </row>
    <row r="871" spans="5:5" x14ac:dyDescent="0.6">
      <c r="E871" s="53"/>
    </row>
    <row r="872" spans="5:5" x14ac:dyDescent="0.6">
      <c r="E872" s="53"/>
    </row>
    <row r="873" spans="5:5" x14ac:dyDescent="0.6">
      <c r="E873" s="53"/>
    </row>
    <row r="874" spans="5:5" x14ac:dyDescent="0.6">
      <c r="E874" s="53"/>
    </row>
    <row r="875" spans="5:5" x14ac:dyDescent="0.6">
      <c r="E875" s="53"/>
    </row>
    <row r="876" spans="5:5" x14ac:dyDescent="0.6">
      <c r="E876" s="53"/>
    </row>
    <row r="877" spans="5:5" x14ac:dyDescent="0.6">
      <c r="E877" s="53"/>
    </row>
    <row r="878" spans="5:5" x14ac:dyDescent="0.6">
      <c r="E878" s="53"/>
    </row>
    <row r="879" spans="5:5" x14ac:dyDescent="0.6">
      <c r="E879" s="53"/>
    </row>
    <row r="880" spans="5:5" x14ac:dyDescent="0.6">
      <c r="E880" s="53"/>
    </row>
    <row r="881" spans="5:5" x14ac:dyDescent="0.6">
      <c r="E881" s="53"/>
    </row>
    <row r="882" spans="5:5" x14ac:dyDescent="0.6">
      <c r="E882" s="53"/>
    </row>
    <row r="883" spans="5:5" x14ac:dyDescent="0.6">
      <c r="E883" s="53"/>
    </row>
    <row r="884" spans="5:5" x14ac:dyDescent="0.6">
      <c r="E884" s="53"/>
    </row>
    <row r="885" spans="5:5" x14ac:dyDescent="0.6">
      <c r="E885" s="53"/>
    </row>
    <row r="886" spans="5:5" x14ac:dyDescent="0.6">
      <c r="E886" s="53"/>
    </row>
    <row r="887" spans="5:5" x14ac:dyDescent="0.6">
      <c r="E887" s="53"/>
    </row>
    <row r="888" spans="5:5" x14ac:dyDescent="0.6">
      <c r="E888" s="53"/>
    </row>
    <row r="889" spans="5:5" x14ac:dyDescent="0.6">
      <c r="E889" s="53"/>
    </row>
    <row r="890" spans="5:5" x14ac:dyDescent="0.6">
      <c r="E890" s="53"/>
    </row>
    <row r="891" spans="5:5" x14ac:dyDescent="0.6">
      <c r="E891" s="53"/>
    </row>
    <row r="892" spans="5:5" x14ac:dyDescent="0.6">
      <c r="E892" s="53"/>
    </row>
    <row r="893" spans="5:5" x14ac:dyDescent="0.6">
      <c r="E893" s="53"/>
    </row>
    <row r="894" spans="5:5" x14ac:dyDescent="0.6">
      <c r="E894" s="53"/>
    </row>
    <row r="895" spans="5:5" x14ac:dyDescent="0.6">
      <c r="E895" s="53"/>
    </row>
    <row r="896" spans="5:5" x14ac:dyDescent="0.6">
      <c r="E896" s="53"/>
    </row>
    <row r="897" spans="5:5" x14ac:dyDescent="0.6">
      <c r="E897" s="53"/>
    </row>
    <row r="898" spans="5:5" x14ac:dyDescent="0.6">
      <c r="E898" s="53"/>
    </row>
    <row r="899" spans="5:5" x14ac:dyDescent="0.6">
      <c r="E899" s="53"/>
    </row>
    <row r="900" spans="5:5" x14ac:dyDescent="0.6">
      <c r="E900" s="53"/>
    </row>
    <row r="901" spans="5:5" x14ac:dyDescent="0.6">
      <c r="E901" s="53"/>
    </row>
    <row r="902" spans="5:5" x14ac:dyDescent="0.6">
      <c r="E902" s="53"/>
    </row>
    <row r="903" spans="5:5" x14ac:dyDescent="0.6">
      <c r="E903" s="53"/>
    </row>
    <row r="904" spans="5:5" x14ac:dyDescent="0.6">
      <c r="E904" s="53"/>
    </row>
    <row r="905" spans="5:5" x14ac:dyDescent="0.6">
      <c r="E905" s="53"/>
    </row>
    <row r="906" spans="5:5" x14ac:dyDescent="0.6">
      <c r="E906" s="53"/>
    </row>
    <row r="907" spans="5:5" x14ac:dyDescent="0.6">
      <c r="E907" s="53"/>
    </row>
    <row r="908" spans="5:5" x14ac:dyDescent="0.6">
      <c r="E908" s="53"/>
    </row>
    <row r="909" spans="5:5" x14ac:dyDescent="0.6">
      <c r="E909" s="53"/>
    </row>
    <row r="910" spans="5:5" x14ac:dyDescent="0.6">
      <c r="E910" s="53"/>
    </row>
    <row r="911" spans="5:5" x14ac:dyDescent="0.6">
      <c r="E911" s="53"/>
    </row>
    <row r="912" spans="5:5" x14ac:dyDescent="0.6">
      <c r="E912" s="53"/>
    </row>
    <row r="913" spans="5:5" x14ac:dyDescent="0.6">
      <c r="E913" s="53"/>
    </row>
    <row r="914" spans="5:5" x14ac:dyDescent="0.6">
      <c r="E914" s="53"/>
    </row>
    <row r="915" spans="5:5" x14ac:dyDescent="0.6">
      <c r="E915" s="53"/>
    </row>
    <row r="916" spans="5:5" x14ac:dyDescent="0.6">
      <c r="E916" s="53"/>
    </row>
    <row r="917" spans="5:5" x14ac:dyDescent="0.6">
      <c r="E917" s="53"/>
    </row>
    <row r="918" spans="5:5" x14ac:dyDescent="0.6">
      <c r="E918" s="53"/>
    </row>
    <row r="919" spans="5:5" x14ac:dyDescent="0.6">
      <c r="E919" s="53"/>
    </row>
    <row r="920" spans="5:5" x14ac:dyDescent="0.6">
      <c r="E920" s="53"/>
    </row>
    <row r="921" spans="5:5" x14ac:dyDescent="0.6">
      <c r="E921" s="53"/>
    </row>
    <row r="922" spans="5:5" x14ac:dyDescent="0.6">
      <c r="E922" s="53"/>
    </row>
    <row r="923" spans="5:5" x14ac:dyDescent="0.6">
      <c r="E923" s="53"/>
    </row>
    <row r="924" spans="5:5" x14ac:dyDescent="0.6">
      <c r="E924" s="53"/>
    </row>
    <row r="925" spans="5:5" x14ac:dyDescent="0.6">
      <c r="E925" s="53"/>
    </row>
    <row r="926" spans="5:5" x14ac:dyDescent="0.6">
      <c r="E926" s="53"/>
    </row>
    <row r="927" spans="5:5" x14ac:dyDescent="0.6">
      <c r="E927" s="53"/>
    </row>
    <row r="928" spans="5:5" x14ac:dyDescent="0.6">
      <c r="E928" s="53"/>
    </row>
    <row r="929" spans="5:5" x14ac:dyDescent="0.6">
      <c r="E929" s="53"/>
    </row>
    <row r="930" spans="5:5" x14ac:dyDescent="0.6">
      <c r="E930" s="53"/>
    </row>
    <row r="931" spans="5:5" x14ac:dyDescent="0.6">
      <c r="E931" s="53"/>
    </row>
    <row r="932" spans="5:5" x14ac:dyDescent="0.6">
      <c r="E932" s="53"/>
    </row>
    <row r="933" spans="5:5" x14ac:dyDescent="0.6">
      <c r="E933" s="53"/>
    </row>
    <row r="934" spans="5:5" x14ac:dyDescent="0.6">
      <c r="E934" s="53"/>
    </row>
    <row r="935" spans="5:5" x14ac:dyDescent="0.6">
      <c r="E935" s="53"/>
    </row>
    <row r="936" spans="5:5" x14ac:dyDescent="0.6">
      <c r="E936" s="53"/>
    </row>
    <row r="937" spans="5:5" x14ac:dyDescent="0.6">
      <c r="E937" s="53"/>
    </row>
    <row r="938" spans="5:5" x14ac:dyDescent="0.6">
      <c r="E938" s="53"/>
    </row>
    <row r="939" spans="5:5" x14ac:dyDescent="0.6">
      <c r="E939" s="53"/>
    </row>
    <row r="940" spans="5:5" x14ac:dyDescent="0.6">
      <c r="E940" s="53"/>
    </row>
    <row r="941" spans="5:5" x14ac:dyDescent="0.6">
      <c r="E941" s="53"/>
    </row>
    <row r="942" spans="5:5" x14ac:dyDescent="0.6">
      <c r="E942" s="53"/>
    </row>
    <row r="943" spans="5:5" x14ac:dyDescent="0.6">
      <c r="E943" s="53"/>
    </row>
    <row r="944" spans="5:5" x14ac:dyDescent="0.6">
      <c r="E944" s="53"/>
    </row>
    <row r="945" spans="5:5" x14ac:dyDescent="0.6">
      <c r="E945" s="53"/>
    </row>
    <row r="946" spans="5:5" x14ac:dyDescent="0.6">
      <c r="E946" s="53"/>
    </row>
    <row r="947" spans="5:5" x14ac:dyDescent="0.6">
      <c r="E947" s="53"/>
    </row>
    <row r="948" spans="5:5" x14ac:dyDescent="0.6">
      <c r="E948" s="53"/>
    </row>
    <row r="949" spans="5:5" x14ac:dyDescent="0.6">
      <c r="E949" s="53"/>
    </row>
    <row r="950" spans="5:5" x14ac:dyDescent="0.6">
      <c r="E950" s="53"/>
    </row>
    <row r="951" spans="5:5" x14ac:dyDescent="0.6">
      <c r="E951" s="53"/>
    </row>
    <row r="952" spans="5:5" x14ac:dyDescent="0.6">
      <c r="E952" s="53"/>
    </row>
    <row r="953" spans="5:5" x14ac:dyDescent="0.6">
      <c r="E953" s="53"/>
    </row>
    <row r="954" spans="5:5" x14ac:dyDescent="0.6">
      <c r="E954" s="53"/>
    </row>
    <row r="955" spans="5:5" x14ac:dyDescent="0.6">
      <c r="E955" s="53"/>
    </row>
    <row r="956" spans="5:5" x14ac:dyDescent="0.6">
      <c r="E956" s="53"/>
    </row>
    <row r="957" spans="5:5" x14ac:dyDescent="0.6">
      <c r="E957" s="53"/>
    </row>
    <row r="958" spans="5:5" x14ac:dyDescent="0.6">
      <c r="E958" s="53"/>
    </row>
    <row r="959" spans="5:5" x14ac:dyDescent="0.6">
      <c r="E959" s="53"/>
    </row>
    <row r="960" spans="5:5" x14ac:dyDescent="0.6">
      <c r="E960" s="53"/>
    </row>
    <row r="961" spans="5:5" x14ac:dyDescent="0.6">
      <c r="E961" s="53"/>
    </row>
    <row r="962" spans="5:5" x14ac:dyDescent="0.6">
      <c r="E962" s="53"/>
    </row>
    <row r="963" spans="5:5" x14ac:dyDescent="0.6">
      <c r="E963" s="53"/>
    </row>
    <row r="964" spans="5:5" x14ac:dyDescent="0.6">
      <c r="E964" s="53"/>
    </row>
    <row r="965" spans="5:5" x14ac:dyDescent="0.6">
      <c r="E965" s="53"/>
    </row>
    <row r="966" spans="5:5" x14ac:dyDescent="0.6">
      <c r="E966" s="53"/>
    </row>
    <row r="967" spans="5:5" x14ac:dyDescent="0.6">
      <c r="E967" s="53"/>
    </row>
    <row r="968" spans="5:5" x14ac:dyDescent="0.6">
      <c r="E968" s="53"/>
    </row>
    <row r="969" spans="5:5" x14ac:dyDescent="0.6">
      <c r="E969" s="53"/>
    </row>
    <row r="970" spans="5:5" x14ac:dyDescent="0.6">
      <c r="E970" s="53"/>
    </row>
    <row r="971" spans="5:5" x14ac:dyDescent="0.6">
      <c r="E971" s="53"/>
    </row>
    <row r="972" spans="5:5" x14ac:dyDescent="0.6">
      <c r="E972" s="53"/>
    </row>
    <row r="973" spans="5:5" x14ac:dyDescent="0.6">
      <c r="E973" s="53"/>
    </row>
    <row r="974" spans="5:5" x14ac:dyDescent="0.6">
      <c r="E974" s="53"/>
    </row>
    <row r="975" spans="5:5" x14ac:dyDescent="0.6">
      <c r="E975" s="53"/>
    </row>
    <row r="976" spans="5:5" x14ac:dyDescent="0.6">
      <c r="E976" s="53"/>
    </row>
    <row r="977" spans="5:5" x14ac:dyDescent="0.6">
      <c r="E977" s="53"/>
    </row>
    <row r="978" spans="5:5" x14ac:dyDescent="0.6">
      <c r="E978" s="53"/>
    </row>
    <row r="979" spans="5:5" x14ac:dyDescent="0.6">
      <c r="E979" s="53"/>
    </row>
    <row r="980" spans="5:5" x14ac:dyDescent="0.6">
      <c r="E980" s="53"/>
    </row>
    <row r="981" spans="5:5" x14ac:dyDescent="0.6">
      <c r="E981" s="53"/>
    </row>
    <row r="982" spans="5:5" x14ac:dyDescent="0.6">
      <c r="E982" s="53"/>
    </row>
    <row r="983" spans="5:5" x14ac:dyDescent="0.6">
      <c r="E983" s="53"/>
    </row>
    <row r="984" spans="5:5" x14ac:dyDescent="0.6">
      <c r="E984" s="53"/>
    </row>
    <row r="985" spans="5:5" x14ac:dyDescent="0.6">
      <c r="E985" s="53"/>
    </row>
    <row r="986" spans="5:5" x14ac:dyDescent="0.6">
      <c r="E986" s="53"/>
    </row>
    <row r="987" spans="5:5" x14ac:dyDescent="0.6">
      <c r="E987" s="53"/>
    </row>
    <row r="988" spans="5:5" x14ac:dyDescent="0.6">
      <c r="E988" s="53"/>
    </row>
    <row r="989" spans="5:5" x14ac:dyDescent="0.6">
      <c r="E989" s="53"/>
    </row>
    <row r="990" spans="5:5" x14ac:dyDescent="0.6">
      <c r="E990" s="53"/>
    </row>
    <row r="991" spans="5:5" x14ac:dyDescent="0.6">
      <c r="E991" s="53"/>
    </row>
    <row r="992" spans="5:5" x14ac:dyDescent="0.6">
      <c r="E992" s="53"/>
    </row>
    <row r="993" spans="5:5" x14ac:dyDescent="0.6">
      <c r="E993" s="53"/>
    </row>
    <row r="994" spans="5:5" x14ac:dyDescent="0.6">
      <c r="E994" s="53"/>
    </row>
    <row r="995" spans="5:5" x14ac:dyDescent="0.6">
      <c r="E995" s="53"/>
    </row>
    <row r="996" spans="5:5" x14ac:dyDescent="0.6">
      <c r="E996" s="53"/>
    </row>
    <row r="997" spans="5:5" x14ac:dyDescent="0.6">
      <c r="E997" s="53"/>
    </row>
    <row r="998" spans="5:5" x14ac:dyDescent="0.6">
      <c r="E998" s="53"/>
    </row>
    <row r="999" spans="5:5" x14ac:dyDescent="0.6">
      <c r="E999" s="53"/>
    </row>
    <row r="1000" spans="5:5" x14ac:dyDescent="0.6">
      <c r="E1000" s="53"/>
    </row>
    <row r="1001" spans="5:5" x14ac:dyDescent="0.6">
      <c r="E1001" s="53"/>
    </row>
    <row r="1002" spans="5:5" x14ac:dyDescent="0.6">
      <c r="E1002" s="53"/>
    </row>
    <row r="1003" spans="5:5" x14ac:dyDescent="0.6">
      <c r="E1003" s="53"/>
    </row>
    <row r="1004" spans="5:5" x14ac:dyDescent="0.6">
      <c r="E1004" s="53"/>
    </row>
    <row r="1005" spans="5:5" x14ac:dyDescent="0.6">
      <c r="E1005" s="53"/>
    </row>
    <row r="1006" spans="5:5" x14ac:dyDescent="0.6">
      <c r="E1006" s="53"/>
    </row>
    <row r="1007" spans="5:5" x14ac:dyDescent="0.6">
      <c r="E1007" s="53"/>
    </row>
    <row r="1008" spans="5:5" x14ac:dyDescent="0.6">
      <c r="E1008" s="53"/>
    </row>
    <row r="1009" spans="5:5" x14ac:dyDescent="0.6">
      <c r="E1009" s="53"/>
    </row>
    <row r="1010" spans="5:5" x14ac:dyDescent="0.6">
      <c r="E1010" s="53"/>
    </row>
    <row r="1011" spans="5:5" x14ac:dyDescent="0.6">
      <c r="E1011" s="53"/>
    </row>
    <row r="1012" spans="5:5" x14ac:dyDescent="0.6">
      <c r="E1012" s="53"/>
    </row>
    <row r="1013" spans="5:5" x14ac:dyDescent="0.6">
      <c r="E1013" s="53"/>
    </row>
    <row r="1014" spans="5:5" x14ac:dyDescent="0.6">
      <c r="E1014" s="53"/>
    </row>
    <row r="1015" spans="5:5" x14ac:dyDescent="0.6">
      <c r="E1015" s="53"/>
    </row>
    <row r="1016" spans="5:5" x14ac:dyDescent="0.6">
      <c r="E1016" s="53"/>
    </row>
    <row r="1017" spans="5:5" x14ac:dyDescent="0.6">
      <c r="E1017" s="53"/>
    </row>
    <row r="1018" spans="5:5" x14ac:dyDescent="0.6">
      <c r="E1018" s="53"/>
    </row>
    <row r="1019" spans="5:5" x14ac:dyDescent="0.6">
      <c r="E1019" s="53"/>
    </row>
    <row r="1020" spans="5:5" x14ac:dyDescent="0.6">
      <c r="E1020" s="53"/>
    </row>
    <row r="1021" spans="5:5" x14ac:dyDescent="0.6">
      <c r="E1021" s="53"/>
    </row>
    <row r="1022" spans="5:5" x14ac:dyDescent="0.6">
      <c r="E1022" s="53"/>
    </row>
    <row r="1023" spans="5:5" x14ac:dyDescent="0.6">
      <c r="E1023" s="53"/>
    </row>
    <row r="1024" spans="5:5" x14ac:dyDescent="0.6">
      <c r="E1024" s="53"/>
    </row>
    <row r="1025" spans="5:5" x14ac:dyDescent="0.6">
      <c r="E1025" s="53"/>
    </row>
    <row r="1026" spans="5:5" x14ac:dyDescent="0.6">
      <c r="E1026" s="53"/>
    </row>
    <row r="1027" spans="5:5" x14ac:dyDescent="0.6">
      <c r="E1027" s="53"/>
    </row>
    <row r="1028" spans="5:5" x14ac:dyDescent="0.6">
      <c r="E1028" s="53"/>
    </row>
    <row r="1029" spans="5:5" x14ac:dyDescent="0.6">
      <c r="E1029" s="53"/>
    </row>
    <row r="1030" spans="5:5" x14ac:dyDescent="0.6">
      <c r="E1030" s="53"/>
    </row>
    <row r="1031" spans="5:5" x14ac:dyDescent="0.6">
      <c r="E1031" s="53"/>
    </row>
    <row r="1032" spans="5:5" x14ac:dyDescent="0.6">
      <c r="E1032" s="53"/>
    </row>
    <row r="1033" spans="5:5" x14ac:dyDescent="0.6">
      <c r="E1033" s="53"/>
    </row>
    <row r="1034" spans="5:5" x14ac:dyDescent="0.6">
      <c r="E1034" s="53"/>
    </row>
    <row r="1035" spans="5:5" x14ac:dyDescent="0.6">
      <c r="E1035" s="53"/>
    </row>
    <row r="1036" spans="5:5" x14ac:dyDescent="0.6">
      <c r="E1036" s="53"/>
    </row>
    <row r="1037" spans="5:5" x14ac:dyDescent="0.6">
      <c r="E1037" s="53"/>
    </row>
    <row r="1038" spans="5:5" x14ac:dyDescent="0.6">
      <c r="E1038" s="53"/>
    </row>
    <row r="1039" spans="5:5" x14ac:dyDescent="0.6">
      <c r="E1039" s="53"/>
    </row>
    <row r="1040" spans="5:5" x14ac:dyDescent="0.6">
      <c r="E1040" s="53"/>
    </row>
    <row r="1041" spans="5:5" x14ac:dyDescent="0.6">
      <c r="E1041" s="53"/>
    </row>
    <row r="1042" spans="5:5" x14ac:dyDescent="0.6">
      <c r="E1042" s="53"/>
    </row>
    <row r="1043" spans="5:5" x14ac:dyDescent="0.6">
      <c r="E1043" s="53"/>
    </row>
    <row r="1044" spans="5:5" x14ac:dyDescent="0.6">
      <c r="E1044" s="53"/>
    </row>
    <row r="1045" spans="5:5" x14ac:dyDescent="0.6">
      <c r="E1045" s="53"/>
    </row>
    <row r="1046" spans="5:5" x14ac:dyDescent="0.6">
      <c r="E1046" s="53"/>
    </row>
    <row r="1047" spans="5:5" x14ac:dyDescent="0.6">
      <c r="E1047" s="53"/>
    </row>
    <row r="1048" spans="5:5" x14ac:dyDescent="0.6">
      <c r="E1048" s="53"/>
    </row>
    <row r="1049" spans="5:5" x14ac:dyDescent="0.6">
      <c r="E1049" s="53"/>
    </row>
    <row r="1050" spans="5:5" x14ac:dyDescent="0.6">
      <c r="E1050" s="53"/>
    </row>
    <row r="1051" spans="5:5" x14ac:dyDescent="0.6">
      <c r="E1051" s="53"/>
    </row>
    <row r="1052" spans="5:5" x14ac:dyDescent="0.6">
      <c r="E1052" s="53"/>
    </row>
    <row r="1053" spans="5:5" x14ac:dyDescent="0.6">
      <c r="E1053" s="53"/>
    </row>
    <row r="1054" spans="5:5" x14ac:dyDescent="0.6">
      <c r="E1054" s="53"/>
    </row>
    <row r="1055" spans="5:5" x14ac:dyDescent="0.6">
      <c r="E1055" s="53"/>
    </row>
    <row r="1056" spans="5:5" x14ac:dyDescent="0.6">
      <c r="E1056" s="53"/>
    </row>
    <row r="1057" spans="5:5" x14ac:dyDescent="0.6">
      <c r="E1057" s="53"/>
    </row>
    <row r="1058" spans="5:5" x14ac:dyDescent="0.6">
      <c r="E1058" s="53"/>
    </row>
    <row r="1059" spans="5:5" x14ac:dyDescent="0.6">
      <c r="E1059" s="53"/>
    </row>
    <row r="1060" spans="5:5" x14ac:dyDescent="0.6">
      <c r="E1060" s="53"/>
    </row>
    <row r="1061" spans="5:5" x14ac:dyDescent="0.6">
      <c r="E1061" s="53"/>
    </row>
    <row r="1062" spans="5:5" x14ac:dyDescent="0.6">
      <c r="E1062" s="53"/>
    </row>
    <row r="1063" spans="5:5" x14ac:dyDescent="0.6">
      <c r="E1063" s="53"/>
    </row>
    <row r="1064" spans="5:5" x14ac:dyDescent="0.6">
      <c r="E1064" s="53"/>
    </row>
    <row r="1065" spans="5:5" x14ac:dyDescent="0.6">
      <c r="E1065" s="53"/>
    </row>
    <row r="1066" spans="5:5" x14ac:dyDescent="0.6">
      <c r="E1066" s="53"/>
    </row>
    <row r="1067" spans="5:5" x14ac:dyDescent="0.6">
      <c r="E1067" s="53"/>
    </row>
    <row r="1068" spans="5:5" x14ac:dyDescent="0.6">
      <c r="E1068" s="53"/>
    </row>
    <row r="1069" spans="5:5" x14ac:dyDescent="0.6">
      <c r="E1069" s="53"/>
    </row>
    <row r="1070" spans="5:5" x14ac:dyDescent="0.6">
      <c r="E1070" s="53"/>
    </row>
    <row r="1071" spans="5:5" x14ac:dyDescent="0.6">
      <c r="E1071" s="53"/>
    </row>
    <row r="1072" spans="5:5" x14ac:dyDescent="0.6">
      <c r="E1072" s="53"/>
    </row>
    <row r="1073" spans="5:5" x14ac:dyDescent="0.6">
      <c r="E1073" s="53"/>
    </row>
    <row r="1074" spans="5:5" x14ac:dyDescent="0.6">
      <c r="E1074" s="53"/>
    </row>
    <row r="1075" spans="5:5" x14ac:dyDescent="0.6">
      <c r="E1075" s="53"/>
    </row>
    <row r="1076" spans="5:5" x14ac:dyDescent="0.6">
      <c r="E1076" s="53"/>
    </row>
    <row r="1077" spans="5:5" x14ac:dyDescent="0.6">
      <c r="E1077" s="53"/>
    </row>
    <row r="1078" spans="5:5" x14ac:dyDescent="0.6">
      <c r="E1078" s="53"/>
    </row>
    <row r="1079" spans="5:5" x14ac:dyDescent="0.6">
      <c r="E1079" s="53"/>
    </row>
    <row r="1080" spans="5:5" x14ac:dyDescent="0.6">
      <c r="E1080" s="53"/>
    </row>
    <row r="1081" spans="5:5" x14ac:dyDescent="0.6">
      <c r="E1081" s="53"/>
    </row>
    <row r="1082" spans="5:5" x14ac:dyDescent="0.6">
      <c r="E1082" s="53"/>
    </row>
    <row r="1083" spans="5:5" x14ac:dyDescent="0.6">
      <c r="E1083" s="53"/>
    </row>
    <row r="1084" spans="5:5" x14ac:dyDescent="0.6">
      <c r="E1084" s="53"/>
    </row>
    <row r="1085" spans="5:5" x14ac:dyDescent="0.6">
      <c r="E1085" s="53"/>
    </row>
    <row r="1086" spans="5:5" x14ac:dyDescent="0.6">
      <c r="E1086" s="53"/>
    </row>
    <row r="1087" spans="5:5" x14ac:dyDescent="0.6">
      <c r="E1087" s="53"/>
    </row>
    <row r="1088" spans="5:5" x14ac:dyDescent="0.6">
      <c r="E1088" s="53"/>
    </row>
    <row r="1089" spans="5:5" x14ac:dyDescent="0.6">
      <c r="E1089" s="53"/>
    </row>
    <row r="1090" spans="5:5" x14ac:dyDescent="0.6">
      <c r="E1090" s="53"/>
    </row>
    <row r="1091" spans="5:5" x14ac:dyDescent="0.6">
      <c r="E1091" s="53"/>
    </row>
    <row r="1092" spans="5:5" x14ac:dyDescent="0.6">
      <c r="E1092" s="53"/>
    </row>
    <row r="1093" spans="5:5" x14ac:dyDescent="0.6">
      <c r="E1093" s="53"/>
    </row>
    <row r="1094" spans="5:5" x14ac:dyDescent="0.6">
      <c r="E1094" s="53"/>
    </row>
    <row r="1095" spans="5:5" x14ac:dyDescent="0.6">
      <c r="E1095" s="53"/>
    </row>
    <row r="1096" spans="5:5" x14ac:dyDescent="0.6">
      <c r="E1096" s="53"/>
    </row>
    <row r="1097" spans="5:5" x14ac:dyDescent="0.6">
      <c r="E1097" s="53"/>
    </row>
    <row r="1098" spans="5:5" x14ac:dyDescent="0.6">
      <c r="E1098" s="53"/>
    </row>
    <row r="1099" spans="5:5" x14ac:dyDescent="0.6">
      <c r="E1099" s="53"/>
    </row>
    <row r="1100" spans="5:5" x14ac:dyDescent="0.6">
      <c r="E1100" s="53"/>
    </row>
    <row r="1101" spans="5:5" x14ac:dyDescent="0.6">
      <c r="E1101" s="53"/>
    </row>
    <row r="1102" spans="5:5" x14ac:dyDescent="0.6">
      <c r="E1102" s="53"/>
    </row>
    <row r="1103" spans="5:5" x14ac:dyDescent="0.6">
      <c r="E1103" s="53"/>
    </row>
    <row r="1104" spans="5:5" x14ac:dyDescent="0.6">
      <c r="E1104" s="53"/>
    </row>
    <row r="1105" spans="5:5" x14ac:dyDescent="0.6">
      <c r="E1105" s="53"/>
    </row>
    <row r="1106" spans="5:5" x14ac:dyDescent="0.6">
      <c r="E1106" s="53"/>
    </row>
    <row r="1107" spans="5:5" x14ac:dyDescent="0.6">
      <c r="E1107" s="53"/>
    </row>
    <row r="1108" spans="5:5" x14ac:dyDescent="0.6">
      <c r="E1108" s="53"/>
    </row>
    <row r="1109" spans="5:5" x14ac:dyDescent="0.6">
      <c r="E1109" s="53"/>
    </row>
    <row r="1110" spans="5:5" x14ac:dyDescent="0.6">
      <c r="E1110" s="53"/>
    </row>
    <row r="1111" spans="5:5" x14ac:dyDescent="0.6">
      <c r="E1111" s="53"/>
    </row>
    <row r="1112" spans="5:5" x14ac:dyDescent="0.6">
      <c r="E1112" s="53"/>
    </row>
    <row r="1113" spans="5:5" x14ac:dyDescent="0.6">
      <c r="E1113" s="53"/>
    </row>
    <row r="1114" spans="5:5" x14ac:dyDescent="0.6">
      <c r="E1114" s="53"/>
    </row>
    <row r="1115" spans="5:5" x14ac:dyDescent="0.6">
      <c r="E1115" s="53"/>
    </row>
    <row r="1116" spans="5:5" x14ac:dyDescent="0.6">
      <c r="E1116" s="53"/>
    </row>
    <row r="1117" spans="5:5" x14ac:dyDescent="0.6">
      <c r="E1117" s="53"/>
    </row>
    <row r="1118" spans="5:5" x14ac:dyDescent="0.6">
      <c r="E1118" s="53"/>
    </row>
    <row r="1119" spans="5:5" x14ac:dyDescent="0.6">
      <c r="E1119" s="53"/>
    </row>
    <row r="1120" spans="5:5" ht="12.75" customHeight="1" x14ac:dyDescent="0.6">
      <c r="E1120" s="53"/>
    </row>
    <row r="1121" spans="5:5" ht="12.75" customHeight="1" x14ac:dyDescent="0.6">
      <c r="E1121" s="53"/>
    </row>
    <row r="1122" spans="5:5" ht="12.75" customHeight="1" x14ac:dyDescent="0.6">
      <c r="E1122" s="53"/>
    </row>
    <row r="1123" spans="5:5" ht="12.75" customHeight="1" x14ac:dyDescent="0.6">
      <c r="E1123" s="53"/>
    </row>
    <row r="1124" spans="5:5" ht="12.75" customHeight="1" x14ac:dyDescent="0.6">
      <c r="E1124" s="53"/>
    </row>
    <row r="1125" spans="5:5" ht="12.75" customHeight="1" x14ac:dyDescent="0.6">
      <c r="E1125" s="53"/>
    </row>
    <row r="1126" spans="5:5" ht="12.75" customHeight="1" x14ac:dyDescent="0.6">
      <c r="E1126" s="53"/>
    </row>
    <row r="1127" spans="5:5" ht="12.75" customHeight="1" x14ac:dyDescent="0.6">
      <c r="E1127" s="53"/>
    </row>
    <row r="1128" spans="5:5" ht="12.75" customHeight="1" x14ac:dyDescent="0.6">
      <c r="E1128" s="53"/>
    </row>
    <row r="1129" spans="5:5" ht="12.75" customHeight="1" x14ac:dyDescent="0.6">
      <c r="E1129" s="53"/>
    </row>
    <row r="1130" spans="5:5" ht="12.75" customHeight="1" x14ac:dyDescent="0.6">
      <c r="E1130" s="53"/>
    </row>
    <row r="1131" spans="5:5" ht="12.75" customHeight="1" x14ac:dyDescent="0.6">
      <c r="E1131" s="53"/>
    </row>
    <row r="1132" spans="5:5" ht="12.75" customHeight="1" x14ac:dyDescent="0.6">
      <c r="E1132" s="53"/>
    </row>
    <row r="1133" spans="5:5" ht="12.75" customHeight="1" x14ac:dyDescent="0.6">
      <c r="E1133" s="53"/>
    </row>
    <row r="1134" spans="5:5" ht="12.75" customHeight="1" x14ac:dyDescent="0.6">
      <c r="E1134" s="53"/>
    </row>
    <row r="1135" spans="5:5" ht="12.75" customHeight="1" x14ac:dyDescent="0.6">
      <c r="E1135" s="53"/>
    </row>
    <row r="1136" spans="5:5" x14ac:dyDescent="0.6">
      <c r="E1136" s="53"/>
    </row>
    <row r="1137" spans="5:5" x14ac:dyDescent="0.6">
      <c r="E1137" s="53"/>
    </row>
    <row r="1138" spans="5:5" x14ac:dyDescent="0.6">
      <c r="E1138" s="53"/>
    </row>
    <row r="1139" spans="5:5" x14ac:dyDescent="0.6">
      <c r="E1139" s="53"/>
    </row>
    <row r="1140" spans="5:5" x14ac:dyDescent="0.6">
      <c r="E1140" s="53"/>
    </row>
    <row r="1141" spans="5:5" x14ac:dyDescent="0.6">
      <c r="E1141" s="53"/>
    </row>
    <row r="1142" spans="5:5" x14ac:dyDescent="0.6">
      <c r="E1142" s="53"/>
    </row>
    <row r="1143" spans="5:5" x14ac:dyDescent="0.6">
      <c r="E1143" s="53"/>
    </row>
    <row r="1144" spans="5:5" x14ac:dyDescent="0.6">
      <c r="E1144" s="53"/>
    </row>
    <row r="1145" spans="5:5" x14ac:dyDescent="0.6">
      <c r="E1145" s="53"/>
    </row>
    <row r="1146" spans="5:5" x14ac:dyDescent="0.6">
      <c r="E1146" s="53"/>
    </row>
    <row r="1147" spans="5:5" x14ac:dyDescent="0.6">
      <c r="E1147" s="53"/>
    </row>
    <row r="1148" spans="5:5" x14ac:dyDescent="0.6">
      <c r="E1148" s="53"/>
    </row>
    <row r="1149" spans="5:5" x14ac:dyDescent="0.6">
      <c r="E1149" s="53"/>
    </row>
    <row r="1150" spans="5:5" x14ac:dyDescent="0.6">
      <c r="E1150" s="53"/>
    </row>
    <row r="1151" spans="5:5" x14ac:dyDescent="0.6">
      <c r="E1151" s="53"/>
    </row>
    <row r="1152" spans="5:5" x14ac:dyDescent="0.6">
      <c r="E1152" s="53"/>
    </row>
    <row r="1153" spans="5:5" x14ac:dyDescent="0.6">
      <c r="E1153" s="53"/>
    </row>
    <row r="1154" spans="5:5" x14ac:dyDescent="0.6">
      <c r="E1154" s="53"/>
    </row>
    <row r="1155" spans="5:5" x14ac:dyDescent="0.6">
      <c r="E1155" s="53"/>
    </row>
    <row r="1156" spans="5:5" x14ac:dyDescent="0.6">
      <c r="E1156" s="53"/>
    </row>
    <row r="1157" spans="5:5" x14ac:dyDescent="0.6">
      <c r="E1157" s="53"/>
    </row>
    <row r="1158" spans="5:5" x14ac:dyDescent="0.6">
      <c r="E1158" s="53"/>
    </row>
    <row r="1159" spans="5:5" x14ac:dyDescent="0.6">
      <c r="E1159" s="53"/>
    </row>
    <row r="1160" spans="5:5" x14ac:dyDescent="0.6">
      <c r="E1160" s="53"/>
    </row>
    <row r="1161" spans="5:5" x14ac:dyDescent="0.6">
      <c r="E1161" s="53"/>
    </row>
    <row r="1162" spans="5:5" x14ac:dyDescent="0.6">
      <c r="E1162" s="53"/>
    </row>
    <row r="1163" spans="5:5" x14ac:dyDescent="0.6">
      <c r="E1163" s="53"/>
    </row>
    <row r="1164" spans="5:5" x14ac:dyDescent="0.6">
      <c r="E1164" s="53"/>
    </row>
    <row r="1165" spans="5:5" x14ac:dyDescent="0.6">
      <c r="E1165" s="53"/>
    </row>
    <row r="1166" spans="5:5" x14ac:dyDescent="0.6">
      <c r="E1166" s="53"/>
    </row>
    <row r="1167" spans="5:5" x14ac:dyDescent="0.6">
      <c r="E1167" s="53"/>
    </row>
    <row r="1168" spans="5:5" x14ac:dyDescent="0.6">
      <c r="E1168" s="53"/>
    </row>
    <row r="1169" spans="5:5" x14ac:dyDescent="0.6">
      <c r="E1169" s="53"/>
    </row>
    <row r="1170" spans="5:5" x14ac:dyDescent="0.6">
      <c r="E1170" s="53"/>
    </row>
    <row r="1171" spans="5:5" x14ac:dyDescent="0.6">
      <c r="E1171" s="53"/>
    </row>
    <row r="1172" spans="5:5" x14ac:dyDescent="0.6">
      <c r="E1172" s="53"/>
    </row>
    <row r="1173" spans="5:5" x14ac:dyDescent="0.6">
      <c r="E1173" s="53"/>
    </row>
    <row r="1174" spans="5:5" x14ac:dyDescent="0.6">
      <c r="E1174" s="53"/>
    </row>
    <row r="1175" spans="5:5" x14ac:dyDescent="0.6">
      <c r="E1175" s="53"/>
    </row>
    <row r="1176" spans="5:5" x14ac:dyDescent="0.6">
      <c r="E1176" s="53"/>
    </row>
    <row r="1177" spans="5:5" x14ac:dyDescent="0.6">
      <c r="E1177" s="53"/>
    </row>
    <row r="1178" spans="5:5" x14ac:dyDescent="0.6">
      <c r="E1178" s="53"/>
    </row>
    <row r="1179" spans="5:5" x14ac:dyDescent="0.6">
      <c r="E1179" s="53"/>
    </row>
    <row r="1180" spans="5:5" x14ac:dyDescent="0.6">
      <c r="E1180" s="53"/>
    </row>
    <row r="1181" spans="5:5" x14ac:dyDescent="0.6">
      <c r="E1181" s="53"/>
    </row>
    <row r="1182" spans="5:5" x14ac:dyDescent="0.6">
      <c r="E1182" s="53"/>
    </row>
    <row r="1183" spans="5:5" x14ac:dyDescent="0.6">
      <c r="E1183" s="53"/>
    </row>
    <row r="1184" spans="5:5" x14ac:dyDescent="0.6">
      <c r="E1184" s="53"/>
    </row>
    <row r="1185" spans="5:5" x14ac:dyDescent="0.6">
      <c r="E1185" s="53"/>
    </row>
    <row r="1186" spans="5:5" x14ac:dyDescent="0.6">
      <c r="E1186" s="53"/>
    </row>
    <row r="1187" spans="5:5" x14ac:dyDescent="0.6">
      <c r="E1187" s="53"/>
    </row>
    <row r="1188" spans="5:5" x14ac:dyDescent="0.6">
      <c r="E1188" s="53"/>
    </row>
    <row r="1189" spans="5:5" x14ac:dyDescent="0.6">
      <c r="E1189" s="53"/>
    </row>
    <row r="1190" spans="5:5" x14ac:dyDescent="0.6">
      <c r="E1190" s="53"/>
    </row>
    <row r="1191" spans="5:5" x14ac:dyDescent="0.6">
      <c r="E1191" s="53"/>
    </row>
    <row r="1192" spans="5:5" x14ac:dyDescent="0.6">
      <c r="E1192" s="53"/>
    </row>
    <row r="1193" spans="5:5" x14ac:dyDescent="0.6">
      <c r="E1193" s="53"/>
    </row>
    <row r="1194" spans="5:5" x14ac:dyDescent="0.6">
      <c r="E1194" s="53"/>
    </row>
    <row r="1195" spans="5:5" x14ac:dyDescent="0.6">
      <c r="E1195" s="53"/>
    </row>
    <row r="1196" spans="5:5" x14ac:dyDescent="0.6">
      <c r="E1196" s="53"/>
    </row>
    <row r="1197" spans="5:5" x14ac:dyDescent="0.6">
      <c r="E1197" s="53"/>
    </row>
    <row r="1198" spans="5:5" x14ac:dyDescent="0.6">
      <c r="E1198" s="53"/>
    </row>
    <row r="1199" spans="5:5" x14ac:dyDescent="0.6">
      <c r="E1199" s="53"/>
    </row>
    <row r="1200" spans="5:5" x14ac:dyDescent="0.6">
      <c r="E1200" s="53"/>
    </row>
    <row r="1201" spans="5:5" x14ac:dyDescent="0.6">
      <c r="E1201" s="53"/>
    </row>
    <row r="1202" spans="5:5" x14ac:dyDescent="0.6">
      <c r="E1202" s="53"/>
    </row>
    <row r="1203" spans="5:5" x14ac:dyDescent="0.6">
      <c r="E1203" s="53"/>
    </row>
    <row r="1204" spans="5:5" x14ac:dyDescent="0.6">
      <c r="E1204" s="53"/>
    </row>
    <row r="1205" spans="5:5" x14ac:dyDescent="0.6">
      <c r="E1205" s="53"/>
    </row>
    <row r="1206" spans="5:5" x14ac:dyDescent="0.6">
      <c r="E1206" s="53"/>
    </row>
    <row r="1207" spans="5:5" x14ac:dyDescent="0.6">
      <c r="E1207" s="53"/>
    </row>
    <row r="1208" spans="5:5" x14ac:dyDescent="0.6">
      <c r="E1208" s="53"/>
    </row>
    <row r="1209" spans="5:5" x14ac:dyDescent="0.6">
      <c r="E1209" s="53"/>
    </row>
    <row r="1210" spans="5:5" x14ac:dyDescent="0.6">
      <c r="E1210" s="53"/>
    </row>
    <row r="1211" spans="5:5" x14ac:dyDescent="0.6">
      <c r="E1211" s="53"/>
    </row>
    <row r="1212" spans="5:5" x14ac:dyDescent="0.6">
      <c r="E1212" s="53"/>
    </row>
    <row r="1213" spans="5:5" x14ac:dyDescent="0.6">
      <c r="E1213" s="53"/>
    </row>
    <row r="1214" spans="5:5" x14ac:dyDescent="0.6">
      <c r="E1214" s="53"/>
    </row>
    <row r="1215" spans="5:5" x14ac:dyDescent="0.6">
      <c r="E1215" s="53"/>
    </row>
    <row r="1216" spans="5:5" x14ac:dyDescent="0.6">
      <c r="E1216" s="53"/>
    </row>
    <row r="1217" spans="5:5" x14ac:dyDescent="0.6">
      <c r="E1217" s="53"/>
    </row>
    <row r="1218" spans="5:5" x14ac:dyDescent="0.6">
      <c r="E1218" s="53"/>
    </row>
    <row r="1219" spans="5:5" x14ac:dyDescent="0.6">
      <c r="E1219" s="53"/>
    </row>
    <row r="1220" spans="5:5" x14ac:dyDescent="0.6">
      <c r="E1220" s="53"/>
    </row>
    <row r="1221" spans="5:5" x14ac:dyDescent="0.6">
      <c r="E1221" s="53"/>
    </row>
    <row r="1222" spans="5:5" x14ac:dyDescent="0.6">
      <c r="E1222" s="53"/>
    </row>
    <row r="1223" spans="5:5" x14ac:dyDescent="0.6">
      <c r="E1223" s="53"/>
    </row>
    <row r="1224" spans="5:5" x14ac:dyDescent="0.6">
      <c r="E1224" s="53"/>
    </row>
    <row r="1225" spans="5:5" x14ac:dyDescent="0.6">
      <c r="E1225" s="53"/>
    </row>
    <row r="1226" spans="5:5" x14ac:dyDescent="0.6">
      <c r="E1226" s="53"/>
    </row>
    <row r="1227" spans="5:5" x14ac:dyDescent="0.6">
      <c r="E1227" s="53"/>
    </row>
    <row r="1228" spans="5:5" x14ac:dyDescent="0.6">
      <c r="E1228" s="53"/>
    </row>
    <row r="1229" spans="5:5" x14ac:dyDescent="0.6">
      <c r="E1229" s="53"/>
    </row>
    <row r="1230" spans="5:5" x14ac:dyDescent="0.6">
      <c r="E1230" s="53"/>
    </row>
    <row r="1231" spans="5:5" x14ac:dyDescent="0.6">
      <c r="E1231" s="53"/>
    </row>
    <row r="1232" spans="5:5" x14ac:dyDescent="0.6">
      <c r="E1232" s="53"/>
    </row>
    <row r="1233" spans="5:5" x14ac:dyDescent="0.6">
      <c r="E1233" s="53"/>
    </row>
    <row r="1234" spans="5:5" x14ac:dyDescent="0.6">
      <c r="E1234" s="53"/>
    </row>
    <row r="1235" spans="5:5" x14ac:dyDescent="0.6">
      <c r="E1235" s="53"/>
    </row>
    <row r="1236" spans="5:5" x14ac:dyDescent="0.6">
      <c r="E1236" s="53"/>
    </row>
    <row r="1237" spans="5:5" x14ac:dyDescent="0.6">
      <c r="E1237" s="53"/>
    </row>
    <row r="1238" spans="5:5" x14ac:dyDescent="0.6">
      <c r="E1238" s="53"/>
    </row>
    <row r="1239" spans="5:5" x14ac:dyDescent="0.6">
      <c r="E1239" s="53"/>
    </row>
    <row r="1240" spans="5:5" x14ac:dyDescent="0.6">
      <c r="E1240" s="53"/>
    </row>
    <row r="1241" spans="5:5" x14ac:dyDescent="0.6">
      <c r="E1241" s="53"/>
    </row>
    <row r="1242" spans="5:5" x14ac:dyDescent="0.6">
      <c r="E1242" s="53"/>
    </row>
    <row r="1243" spans="5:5" x14ac:dyDescent="0.6">
      <c r="E1243" s="53"/>
    </row>
    <row r="1244" spans="5:5" x14ac:dyDescent="0.6">
      <c r="E1244" s="53"/>
    </row>
    <row r="1245" spans="5:5" x14ac:dyDescent="0.6">
      <c r="E1245" s="53"/>
    </row>
    <row r="1246" spans="5:5" x14ac:dyDescent="0.6">
      <c r="E1246" s="53"/>
    </row>
    <row r="1247" spans="5:5" x14ac:dyDescent="0.6">
      <c r="E1247" s="53"/>
    </row>
    <row r="1248" spans="5:5" x14ac:dyDescent="0.6">
      <c r="E1248" s="53"/>
    </row>
    <row r="1249" spans="5:5" x14ac:dyDescent="0.6">
      <c r="E1249" s="53"/>
    </row>
    <row r="1250" spans="5:5" x14ac:dyDescent="0.6">
      <c r="E1250" s="53"/>
    </row>
    <row r="1251" spans="5:5" x14ac:dyDescent="0.6">
      <c r="E1251" s="53"/>
    </row>
    <row r="1252" spans="5:5" x14ac:dyDescent="0.6">
      <c r="E1252" s="53"/>
    </row>
    <row r="1253" spans="5:5" x14ac:dyDescent="0.6">
      <c r="E1253" s="53"/>
    </row>
    <row r="1254" spans="5:5" x14ac:dyDescent="0.6">
      <c r="E1254" s="53"/>
    </row>
    <row r="1255" spans="5:5" x14ac:dyDescent="0.6">
      <c r="E1255" s="53"/>
    </row>
    <row r="1256" spans="5:5" x14ac:dyDescent="0.6">
      <c r="E1256" s="53"/>
    </row>
    <row r="1257" spans="5:5" x14ac:dyDescent="0.6">
      <c r="E1257" s="53"/>
    </row>
    <row r="1258" spans="5:5" x14ac:dyDescent="0.6">
      <c r="E1258" s="53"/>
    </row>
    <row r="1259" spans="5:5" x14ac:dyDescent="0.6">
      <c r="E1259" s="53"/>
    </row>
    <row r="1260" spans="5:5" x14ac:dyDescent="0.6">
      <c r="E1260" s="53"/>
    </row>
    <row r="1261" spans="5:5" x14ac:dyDescent="0.6">
      <c r="E1261" s="53"/>
    </row>
    <row r="1262" spans="5:5" x14ac:dyDescent="0.6">
      <c r="E1262" s="53"/>
    </row>
    <row r="1263" spans="5:5" x14ac:dyDescent="0.6">
      <c r="E1263" s="53"/>
    </row>
    <row r="1264" spans="5:5" x14ac:dyDescent="0.6">
      <c r="E1264" s="53"/>
    </row>
    <row r="1265" spans="5:5" x14ac:dyDescent="0.6">
      <c r="E1265" s="53"/>
    </row>
    <row r="1266" spans="5:5" x14ac:dyDescent="0.6">
      <c r="E1266" s="53"/>
    </row>
    <row r="1267" spans="5:5" x14ac:dyDescent="0.6">
      <c r="E1267" s="53"/>
    </row>
    <row r="1268" spans="5:5" x14ac:dyDescent="0.6">
      <c r="E1268" s="53"/>
    </row>
    <row r="1269" spans="5:5" x14ac:dyDescent="0.6">
      <c r="E1269" s="53"/>
    </row>
    <row r="1270" spans="5:5" x14ac:dyDescent="0.6">
      <c r="E1270" s="53"/>
    </row>
    <row r="1271" spans="5:5" x14ac:dyDescent="0.6">
      <c r="E1271" s="53"/>
    </row>
    <row r="1272" spans="5:5" x14ac:dyDescent="0.6">
      <c r="E1272" s="53"/>
    </row>
    <row r="1273" spans="5:5" x14ac:dyDescent="0.6">
      <c r="E1273" s="53"/>
    </row>
    <row r="1274" spans="5:5" x14ac:dyDescent="0.6">
      <c r="E1274" s="53"/>
    </row>
    <row r="1275" spans="5:5" x14ac:dyDescent="0.6">
      <c r="E1275" s="53"/>
    </row>
    <row r="1276" spans="5:5" x14ac:dyDescent="0.6">
      <c r="E1276" s="53"/>
    </row>
    <row r="1277" spans="5:5" x14ac:dyDescent="0.6">
      <c r="E1277" s="53"/>
    </row>
    <row r="1278" spans="5:5" x14ac:dyDescent="0.6">
      <c r="E1278" s="53"/>
    </row>
    <row r="1279" spans="5:5" x14ac:dyDescent="0.6">
      <c r="E1279" s="53"/>
    </row>
    <row r="1280" spans="5:5" x14ac:dyDescent="0.6">
      <c r="E1280" s="53"/>
    </row>
    <row r="1281" spans="5:5" x14ac:dyDescent="0.6">
      <c r="E1281" s="53"/>
    </row>
    <row r="1282" spans="5:5" x14ac:dyDescent="0.6">
      <c r="E1282" s="53"/>
    </row>
    <row r="1283" spans="5:5" x14ac:dyDescent="0.6">
      <c r="E1283" s="53"/>
    </row>
    <row r="1284" spans="5:5" x14ac:dyDescent="0.6">
      <c r="E1284" s="53"/>
    </row>
    <row r="1285" spans="5:5" x14ac:dyDescent="0.6">
      <c r="E1285" s="53"/>
    </row>
    <row r="1286" spans="5:5" x14ac:dyDescent="0.6">
      <c r="E1286" s="53"/>
    </row>
    <row r="1287" spans="5:5" x14ac:dyDescent="0.6">
      <c r="E1287" s="53"/>
    </row>
    <row r="1288" spans="5:5" x14ac:dyDescent="0.6">
      <c r="E1288" s="53"/>
    </row>
    <row r="1289" spans="5:5" x14ac:dyDescent="0.6">
      <c r="E1289" s="53"/>
    </row>
    <row r="1290" spans="5:5" x14ac:dyDescent="0.6">
      <c r="E1290" s="53"/>
    </row>
    <row r="1291" spans="5:5" x14ac:dyDescent="0.6">
      <c r="E1291" s="53"/>
    </row>
    <row r="1292" spans="5:5" x14ac:dyDescent="0.6">
      <c r="E1292" s="53"/>
    </row>
    <row r="1293" spans="5:5" x14ac:dyDescent="0.6">
      <c r="E1293" s="53"/>
    </row>
    <row r="1294" spans="5:5" x14ac:dyDescent="0.6">
      <c r="E1294" s="53"/>
    </row>
    <row r="1295" spans="5:5" x14ac:dyDescent="0.6">
      <c r="E1295" s="53"/>
    </row>
    <row r="1296" spans="5:5" x14ac:dyDescent="0.6">
      <c r="E1296" s="53"/>
    </row>
    <row r="1297" spans="5:5" x14ac:dyDescent="0.6">
      <c r="E1297" s="53"/>
    </row>
    <row r="1298" spans="5:5" x14ac:dyDescent="0.6">
      <c r="E1298" s="53"/>
    </row>
    <row r="1299" spans="5:5" x14ac:dyDescent="0.6">
      <c r="E1299" s="53"/>
    </row>
    <row r="1300" spans="5:5" x14ac:dyDescent="0.6">
      <c r="E1300" s="53"/>
    </row>
    <row r="1301" spans="5:5" x14ac:dyDescent="0.6">
      <c r="E1301" s="53"/>
    </row>
    <row r="1302" spans="5:5" x14ac:dyDescent="0.6">
      <c r="E1302" s="53"/>
    </row>
    <row r="1303" spans="5:5" x14ac:dyDescent="0.6">
      <c r="E1303" s="53"/>
    </row>
    <row r="1304" spans="5:5" x14ac:dyDescent="0.6">
      <c r="E1304" s="53"/>
    </row>
    <row r="1305" spans="5:5" x14ac:dyDescent="0.6">
      <c r="E1305" s="53"/>
    </row>
    <row r="1306" spans="5:5" x14ac:dyDescent="0.6">
      <c r="E1306" s="53"/>
    </row>
    <row r="1307" spans="5:5" x14ac:dyDescent="0.6">
      <c r="E1307" s="53"/>
    </row>
    <row r="1308" spans="5:5" x14ac:dyDescent="0.6">
      <c r="E1308" s="53"/>
    </row>
    <row r="1309" spans="5:5" x14ac:dyDescent="0.6">
      <c r="E1309" s="53"/>
    </row>
    <row r="1310" spans="5:5" x14ac:dyDescent="0.6">
      <c r="E1310" s="53"/>
    </row>
    <row r="1311" spans="5:5" x14ac:dyDescent="0.6">
      <c r="E1311" s="53"/>
    </row>
    <row r="1312" spans="5:5" x14ac:dyDescent="0.6">
      <c r="E1312" s="53"/>
    </row>
    <row r="1313" spans="5:5" x14ac:dyDescent="0.6">
      <c r="E1313" s="53"/>
    </row>
    <row r="1314" spans="5:5" x14ac:dyDescent="0.6">
      <c r="E1314" s="53"/>
    </row>
    <row r="1315" spans="5:5" x14ac:dyDescent="0.6">
      <c r="E1315" s="53"/>
    </row>
    <row r="1316" spans="5:5" x14ac:dyDescent="0.6">
      <c r="E1316" s="53"/>
    </row>
    <row r="1317" spans="5:5" x14ac:dyDescent="0.6">
      <c r="E1317" s="53"/>
    </row>
    <row r="1318" spans="5:5" x14ac:dyDescent="0.6">
      <c r="E1318" s="53"/>
    </row>
    <row r="1319" spans="5:5" x14ac:dyDescent="0.6">
      <c r="E1319" s="53"/>
    </row>
    <row r="1320" spans="5:5" x14ac:dyDescent="0.6">
      <c r="E1320" s="53"/>
    </row>
    <row r="1321" spans="5:5" x14ac:dyDescent="0.6">
      <c r="E1321" s="53"/>
    </row>
    <row r="1322" spans="5:5" x14ac:dyDescent="0.6">
      <c r="E1322" s="53"/>
    </row>
    <row r="1323" spans="5:5" x14ac:dyDescent="0.6">
      <c r="E1323" s="53"/>
    </row>
    <row r="1324" spans="5:5" x14ac:dyDescent="0.6">
      <c r="E1324" s="53"/>
    </row>
    <row r="1325" spans="5:5" x14ac:dyDescent="0.6">
      <c r="E1325" s="53"/>
    </row>
    <row r="1326" spans="5:5" x14ac:dyDescent="0.6">
      <c r="E1326" s="53"/>
    </row>
    <row r="1327" spans="5:5" x14ac:dyDescent="0.6">
      <c r="E1327" s="53"/>
    </row>
    <row r="1328" spans="5:5" x14ac:dyDescent="0.6">
      <c r="E1328" s="53"/>
    </row>
    <row r="1329" spans="5:5" x14ac:dyDescent="0.6">
      <c r="E1329" s="53"/>
    </row>
    <row r="1330" spans="5:5" x14ac:dyDescent="0.6">
      <c r="E1330" s="53"/>
    </row>
    <row r="1331" spans="5:5" x14ac:dyDescent="0.6">
      <c r="E1331" s="53"/>
    </row>
    <row r="1332" spans="5:5" x14ac:dyDescent="0.6">
      <c r="E1332" s="53"/>
    </row>
    <row r="1333" spans="5:5" x14ac:dyDescent="0.6">
      <c r="E1333" s="53"/>
    </row>
    <row r="1334" spans="5:5" x14ac:dyDescent="0.6">
      <c r="E1334" s="53"/>
    </row>
    <row r="1335" spans="5:5" x14ac:dyDescent="0.6">
      <c r="E1335" s="53"/>
    </row>
    <row r="1336" spans="5:5" x14ac:dyDescent="0.6">
      <c r="E1336" s="53"/>
    </row>
    <row r="1337" spans="5:5" x14ac:dyDescent="0.6">
      <c r="E1337" s="53"/>
    </row>
    <row r="1338" spans="5:5" x14ac:dyDescent="0.6">
      <c r="E1338" s="53"/>
    </row>
    <row r="1339" spans="5:5" x14ac:dyDescent="0.6">
      <c r="E1339" s="53"/>
    </row>
    <row r="1340" spans="5:5" x14ac:dyDescent="0.6">
      <c r="E1340" s="53"/>
    </row>
    <row r="1341" spans="5:5" x14ac:dyDescent="0.6">
      <c r="E1341" s="53"/>
    </row>
    <row r="1342" spans="5:5" x14ac:dyDescent="0.6">
      <c r="E1342" s="53"/>
    </row>
    <row r="1343" spans="5:5" x14ac:dyDescent="0.6">
      <c r="E1343" s="53"/>
    </row>
    <row r="1344" spans="5:5" x14ac:dyDescent="0.6">
      <c r="E1344" s="53"/>
    </row>
    <row r="1345" spans="5:5" x14ac:dyDescent="0.6">
      <c r="E1345" s="53"/>
    </row>
    <row r="1346" spans="5:5" x14ac:dyDescent="0.6">
      <c r="E1346" s="53"/>
    </row>
    <row r="1347" spans="5:5" x14ac:dyDescent="0.6">
      <c r="E1347" s="53"/>
    </row>
    <row r="1348" spans="5:5" x14ac:dyDescent="0.6">
      <c r="E1348" s="53"/>
    </row>
    <row r="1349" spans="5:5" x14ac:dyDescent="0.6">
      <c r="E1349" s="53"/>
    </row>
    <row r="1350" spans="5:5" x14ac:dyDescent="0.6">
      <c r="E1350" s="53"/>
    </row>
    <row r="1351" spans="5:5" x14ac:dyDescent="0.6">
      <c r="E1351" s="53"/>
    </row>
    <row r="1352" spans="5:5" x14ac:dyDescent="0.6">
      <c r="E1352" s="53"/>
    </row>
    <row r="1353" spans="5:5" x14ac:dyDescent="0.6">
      <c r="E1353" s="53"/>
    </row>
    <row r="1354" spans="5:5" x14ac:dyDescent="0.6">
      <c r="E1354" s="53"/>
    </row>
    <row r="1355" spans="5:5" x14ac:dyDescent="0.6">
      <c r="E1355" s="53"/>
    </row>
    <row r="1356" spans="5:5" x14ac:dyDescent="0.6">
      <c r="E1356" s="53"/>
    </row>
    <row r="1357" spans="5:5" x14ac:dyDescent="0.6">
      <c r="E1357" s="53"/>
    </row>
    <row r="1358" spans="5:5" x14ac:dyDescent="0.6">
      <c r="E1358" s="53"/>
    </row>
    <row r="1359" spans="5:5" x14ac:dyDescent="0.6">
      <c r="E1359" s="53"/>
    </row>
    <row r="1360" spans="5:5" x14ac:dyDescent="0.6">
      <c r="E1360" s="53"/>
    </row>
    <row r="1361" spans="5:5" x14ac:dyDescent="0.6">
      <c r="E1361" s="53"/>
    </row>
    <row r="1362" spans="5:5" x14ac:dyDescent="0.6">
      <c r="E1362" s="53"/>
    </row>
    <row r="1363" spans="5:5" x14ac:dyDescent="0.6">
      <c r="E1363" s="53"/>
    </row>
    <row r="1364" spans="5:5" x14ac:dyDescent="0.6">
      <c r="E1364" s="53"/>
    </row>
    <row r="1365" spans="5:5" x14ac:dyDescent="0.6">
      <c r="E1365" s="53"/>
    </row>
    <row r="1366" spans="5:5" x14ac:dyDescent="0.6">
      <c r="E1366" s="53"/>
    </row>
    <row r="1367" spans="5:5" x14ac:dyDescent="0.6">
      <c r="E1367" s="53"/>
    </row>
    <row r="1368" spans="5:5" x14ac:dyDescent="0.6">
      <c r="E1368" s="53"/>
    </row>
    <row r="1369" spans="5:5" x14ac:dyDescent="0.6">
      <c r="E1369" s="53"/>
    </row>
    <row r="1370" spans="5:5" x14ac:dyDescent="0.6">
      <c r="E1370" s="53"/>
    </row>
    <row r="1371" spans="5:5" x14ac:dyDescent="0.6">
      <c r="E1371" s="53"/>
    </row>
    <row r="1372" spans="5:5" x14ac:dyDescent="0.6">
      <c r="E1372" s="53"/>
    </row>
    <row r="1373" spans="5:5" x14ac:dyDescent="0.6">
      <c r="E1373" s="53"/>
    </row>
    <row r="1374" spans="5:5" x14ac:dyDescent="0.6">
      <c r="E1374" s="53"/>
    </row>
    <row r="1375" spans="5:5" x14ac:dyDescent="0.6">
      <c r="E1375" s="53"/>
    </row>
    <row r="1376" spans="5:5" x14ac:dyDescent="0.6">
      <c r="E1376" s="53"/>
    </row>
    <row r="1377" spans="5:5" x14ac:dyDescent="0.6">
      <c r="E1377" s="53"/>
    </row>
    <row r="1378" spans="5:5" x14ac:dyDescent="0.6">
      <c r="E1378" s="53"/>
    </row>
    <row r="1379" spans="5:5" x14ac:dyDescent="0.6">
      <c r="E1379" s="53"/>
    </row>
    <row r="1380" spans="5:5" x14ac:dyDescent="0.6">
      <c r="E1380" s="53"/>
    </row>
    <row r="1381" spans="5:5" x14ac:dyDescent="0.6">
      <c r="E1381" s="53"/>
    </row>
    <row r="1382" spans="5:5" x14ac:dyDescent="0.6">
      <c r="E1382" s="53"/>
    </row>
    <row r="1383" spans="5:5" x14ac:dyDescent="0.6">
      <c r="E1383" s="53"/>
    </row>
    <row r="1384" spans="5:5" x14ac:dyDescent="0.6">
      <c r="E1384" s="53"/>
    </row>
    <row r="1385" spans="5:5" x14ac:dyDescent="0.6">
      <c r="E1385" s="53"/>
    </row>
    <row r="1386" spans="5:5" x14ac:dyDescent="0.6">
      <c r="E1386" s="53"/>
    </row>
    <row r="1387" spans="5:5" x14ac:dyDescent="0.6">
      <c r="E1387" s="53"/>
    </row>
    <row r="1388" spans="5:5" x14ac:dyDescent="0.6">
      <c r="E1388" s="53"/>
    </row>
    <row r="1389" spans="5:5" x14ac:dyDescent="0.6">
      <c r="E1389" s="53"/>
    </row>
    <row r="1390" spans="5:5" x14ac:dyDescent="0.6">
      <c r="E1390" s="53"/>
    </row>
    <row r="1391" spans="5:5" x14ac:dyDescent="0.6">
      <c r="E1391" s="53"/>
    </row>
    <row r="1392" spans="5:5" x14ac:dyDescent="0.6">
      <c r="E1392" s="53"/>
    </row>
    <row r="1393" spans="5:5" x14ac:dyDescent="0.6">
      <c r="E1393" s="53"/>
    </row>
    <row r="1394" spans="5:5" x14ac:dyDescent="0.6">
      <c r="E1394" s="53"/>
    </row>
    <row r="1395" spans="5:5" x14ac:dyDescent="0.6">
      <c r="E1395" s="53"/>
    </row>
    <row r="1396" spans="5:5" x14ac:dyDescent="0.6">
      <c r="E1396" s="53"/>
    </row>
    <row r="1397" spans="5:5" x14ac:dyDescent="0.6">
      <c r="E1397" s="53"/>
    </row>
    <row r="1398" spans="5:5" x14ac:dyDescent="0.6">
      <c r="E1398" s="53"/>
    </row>
    <row r="1399" spans="5:5" x14ac:dyDescent="0.6">
      <c r="E1399" s="53"/>
    </row>
    <row r="1400" spans="5:5" x14ac:dyDescent="0.6">
      <c r="E1400" s="53"/>
    </row>
    <row r="1401" spans="5:5" x14ac:dyDescent="0.6">
      <c r="E1401" s="53"/>
    </row>
    <row r="1402" spans="5:5" x14ac:dyDescent="0.6">
      <c r="E1402" s="53"/>
    </row>
    <row r="1403" spans="5:5" x14ac:dyDescent="0.6">
      <c r="E1403" s="53"/>
    </row>
    <row r="1404" spans="5:5" x14ac:dyDescent="0.6">
      <c r="E1404" s="53"/>
    </row>
    <row r="1405" spans="5:5" x14ac:dyDescent="0.6">
      <c r="E1405" s="53"/>
    </row>
    <row r="1406" spans="5:5" x14ac:dyDescent="0.6">
      <c r="E1406" s="53"/>
    </row>
    <row r="1407" spans="5:5" x14ac:dyDescent="0.6">
      <c r="E1407" s="53"/>
    </row>
    <row r="1408" spans="5:5" x14ac:dyDescent="0.6">
      <c r="E1408" s="53"/>
    </row>
    <row r="1409" spans="5:5" x14ac:dyDescent="0.6">
      <c r="E1409" s="53"/>
    </row>
    <row r="1410" spans="5:5" x14ac:dyDescent="0.6">
      <c r="E1410" s="53"/>
    </row>
    <row r="1411" spans="5:5" x14ac:dyDescent="0.6">
      <c r="E1411" s="53"/>
    </row>
    <row r="1412" spans="5:5" x14ac:dyDescent="0.6">
      <c r="E1412" s="53"/>
    </row>
    <row r="1413" spans="5:5" x14ac:dyDescent="0.6">
      <c r="E1413" s="53"/>
    </row>
    <row r="1414" spans="5:5" x14ac:dyDescent="0.6">
      <c r="E1414" s="53"/>
    </row>
    <row r="1415" spans="5:5" x14ac:dyDescent="0.6">
      <c r="E1415" s="53"/>
    </row>
    <row r="1416" spans="5:5" x14ac:dyDescent="0.6">
      <c r="E1416" s="53"/>
    </row>
    <row r="1417" spans="5:5" x14ac:dyDescent="0.6">
      <c r="E1417" s="53"/>
    </row>
    <row r="1418" spans="5:5" x14ac:dyDescent="0.6">
      <c r="E1418" s="53"/>
    </row>
    <row r="1419" spans="5:5" x14ac:dyDescent="0.6">
      <c r="E1419" s="53"/>
    </row>
    <row r="1420" spans="5:5" x14ac:dyDescent="0.6">
      <c r="E1420" s="53"/>
    </row>
    <row r="1421" spans="5:5" x14ac:dyDescent="0.6">
      <c r="E1421" s="53"/>
    </row>
    <row r="1422" spans="5:5" x14ac:dyDescent="0.6">
      <c r="E1422" s="53"/>
    </row>
    <row r="1423" spans="5:5" x14ac:dyDescent="0.6">
      <c r="E1423" s="53"/>
    </row>
    <row r="1424" spans="5:5" x14ac:dyDescent="0.6">
      <c r="E1424" s="53"/>
    </row>
    <row r="1425" spans="5:5" x14ac:dyDescent="0.6">
      <c r="E1425" s="53"/>
    </row>
    <row r="1426" spans="5:5" x14ac:dyDescent="0.6">
      <c r="E1426" s="53"/>
    </row>
    <row r="1427" spans="5:5" x14ac:dyDescent="0.6">
      <c r="E1427" s="53"/>
    </row>
    <row r="1428" spans="5:5" x14ac:dyDescent="0.6">
      <c r="E1428" s="53"/>
    </row>
    <row r="1429" spans="5:5" x14ac:dyDescent="0.6">
      <c r="E1429" s="53"/>
    </row>
    <row r="1430" spans="5:5" x14ac:dyDescent="0.6">
      <c r="E1430" s="53"/>
    </row>
    <row r="1431" spans="5:5" x14ac:dyDescent="0.6">
      <c r="E1431" s="53"/>
    </row>
    <row r="1432" spans="5:5" x14ac:dyDescent="0.6">
      <c r="E1432" s="53"/>
    </row>
    <row r="1433" spans="5:5" x14ac:dyDescent="0.6">
      <c r="E1433" s="53"/>
    </row>
    <row r="1434" spans="5:5" x14ac:dyDescent="0.6">
      <c r="E1434" s="53"/>
    </row>
    <row r="1435" spans="5:5" x14ac:dyDescent="0.6">
      <c r="E1435" s="53"/>
    </row>
    <row r="1436" spans="5:5" x14ac:dyDescent="0.6">
      <c r="E1436" s="53"/>
    </row>
    <row r="1437" spans="5:5" x14ac:dyDescent="0.6">
      <c r="E1437" s="53"/>
    </row>
    <row r="1438" spans="5:5" x14ac:dyDescent="0.6">
      <c r="E1438" s="53"/>
    </row>
    <row r="1439" spans="5:5" x14ac:dyDescent="0.6">
      <c r="E1439" s="53"/>
    </row>
    <row r="1440" spans="5:5" x14ac:dyDescent="0.6">
      <c r="E1440" s="53"/>
    </row>
    <row r="1441" spans="5:5" x14ac:dyDescent="0.6">
      <c r="E1441" s="53"/>
    </row>
    <row r="1442" spans="5:5" x14ac:dyDescent="0.6">
      <c r="E1442" s="53"/>
    </row>
    <row r="1443" spans="5:5" x14ac:dyDescent="0.6">
      <c r="E1443" s="53"/>
    </row>
    <row r="1444" spans="5:5" x14ac:dyDescent="0.6">
      <c r="E1444" s="53"/>
    </row>
    <row r="1445" spans="5:5" x14ac:dyDescent="0.6">
      <c r="E1445" s="53"/>
    </row>
    <row r="1446" spans="5:5" x14ac:dyDescent="0.6">
      <c r="E1446" s="53"/>
    </row>
    <row r="1447" spans="5:5" x14ac:dyDescent="0.6">
      <c r="E1447" s="53"/>
    </row>
    <row r="1448" spans="5:5" x14ac:dyDescent="0.6">
      <c r="E1448" s="53"/>
    </row>
    <row r="1449" spans="5:5" x14ac:dyDescent="0.6">
      <c r="E1449" s="53"/>
    </row>
    <row r="1450" spans="5:5" x14ac:dyDescent="0.6">
      <c r="E1450" s="53"/>
    </row>
    <row r="1451" spans="5:5" x14ac:dyDescent="0.6">
      <c r="E1451" s="53"/>
    </row>
    <row r="1452" spans="5:5" x14ac:dyDescent="0.6">
      <c r="E1452" s="53"/>
    </row>
    <row r="1453" spans="5:5" x14ac:dyDescent="0.6">
      <c r="E1453" s="53"/>
    </row>
    <row r="1454" spans="5:5" x14ac:dyDescent="0.6">
      <c r="E1454" s="53"/>
    </row>
    <row r="1455" spans="5:5" x14ac:dyDescent="0.6">
      <c r="E1455" s="53"/>
    </row>
    <row r="1456" spans="5:5" x14ac:dyDescent="0.6">
      <c r="E1456" s="53"/>
    </row>
    <row r="1457" spans="5:5" x14ac:dyDescent="0.6">
      <c r="E1457" s="53"/>
    </row>
    <row r="1458" spans="5:5" x14ac:dyDescent="0.6">
      <c r="E1458" s="53"/>
    </row>
    <row r="1459" spans="5:5" x14ac:dyDescent="0.6">
      <c r="E1459" s="53"/>
    </row>
    <row r="1460" spans="5:5" x14ac:dyDescent="0.6">
      <c r="E1460" s="53"/>
    </row>
    <row r="1461" spans="5:5" x14ac:dyDescent="0.6">
      <c r="E1461" s="53"/>
    </row>
    <row r="1462" spans="5:5" x14ac:dyDescent="0.6">
      <c r="E1462" s="53"/>
    </row>
    <row r="1463" spans="5:5" x14ac:dyDescent="0.6">
      <c r="E1463" s="53"/>
    </row>
    <row r="1464" spans="5:5" x14ac:dyDescent="0.6">
      <c r="E1464" s="53"/>
    </row>
    <row r="1465" spans="5:5" x14ac:dyDescent="0.6">
      <c r="E1465" s="53"/>
    </row>
    <row r="1466" spans="5:5" x14ac:dyDescent="0.6">
      <c r="E1466" s="53"/>
    </row>
    <row r="1467" spans="5:5" x14ac:dyDescent="0.6">
      <c r="E1467" s="53"/>
    </row>
    <row r="1468" spans="5:5" x14ac:dyDescent="0.6">
      <c r="E1468" s="53"/>
    </row>
    <row r="1469" spans="5:5" x14ac:dyDescent="0.6">
      <c r="E1469" s="53"/>
    </row>
    <row r="1470" spans="5:5" x14ac:dyDescent="0.6">
      <c r="E1470" s="53"/>
    </row>
    <row r="1471" spans="5:5" x14ac:dyDescent="0.6">
      <c r="E1471" s="53"/>
    </row>
    <row r="1472" spans="5:5" x14ac:dyDescent="0.6">
      <c r="E1472" s="53"/>
    </row>
    <row r="1473" spans="5:5" x14ac:dyDescent="0.6">
      <c r="E1473" s="53"/>
    </row>
    <row r="1474" spans="5:5" x14ac:dyDescent="0.6">
      <c r="E1474" s="53"/>
    </row>
    <row r="1475" spans="5:5" x14ac:dyDescent="0.6">
      <c r="E1475" s="53"/>
    </row>
    <row r="1476" spans="5:5" x14ac:dyDescent="0.6">
      <c r="E1476" s="53"/>
    </row>
    <row r="1477" spans="5:5" x14ac:dyDescent="0.6">
      <c r="E1477" s="53"/>
    </row>
    <row r="1478" spans="5:5" x14ac:dyDescent="0.6">
      <c r="E1478" s="53"/>
    </row>
    <row r="1479" spans="5:5" x14ac:dyDescent="0.6">
      <c r="E1479" s="53"/>
    </row>
    <row r="1480" spans="5:5" x14ac:dyDescent="0.6">
      <c r="E1480" s="53"/>
    </row>
    <row r="1481" spans="5:5" x14ac:dyDescent="0.6">
      <c r="E1481" s="53"/>
    </row>
    <row r="1482" spans="5:5" x14ac:dyDescent="0.6">
      <c r="E1482" s="53"/>
    </row>
    <row r="1483" spans="5:5" x14ac:dyDescent="0.6">
      <c r="E1483" s="53"/>
    </row>
    <row r="1484" spans="5:5" x14ac:dyDescent="0.6">
      <c r="E1484" s="53"/>
    </row>
    <row r="1485" spans="5:5" x14ac:dyDescent="0.6">
      <c r="E1485" s="53"/>
    </row>
    <row r="1486" spans="5:5" x14ac:dyDescent="0.6">
      <c r="E1486" s="53"/>
    </row>
    <row r="1487" spans="5:5" x14ac:dyDescent="0.6">
      <c r="E1487" s="53"/>
    </row>
    <row r="1488" spans="5:5" x14ac:dyDescent="0.6">
      <c r="E1488" s="53"/>
    </row>
    <row r="1489" spans="5:26" x14ac:dyDescent="0.6">
      <c r="E1489" s="53"/>
    </row>
    <row r="1490" spans="5:26" x14ac:dyDescent="0.6">
      <c r="E1490" s="53"/>
    </row>
    <row r="1491" spans="5:26" x14ac:dyDescent="0.6">
      <c r="E1491" s="53"/>
    </row>
    <row r="1492" spans="5:26" x14ac:dyDescent="0.6">
      <c r="E1492" s="53"/>
    </row>
    <row r="1493" spans="5:26" x14ac:dyDescent="0.6">
      <c r="E1493" s="53"/>
    </row>
    <row r="1494" spans="5:26" x14ac:dyDescent="0.6">
      <c r="E1494" s="53"/>
    </row>
    <row r="1495" spans="5:26" x14ac:dyDescent="0.6">
      <c r="E1495" s="53"/>
    </row>
    <row r="1496" spans="5:26" x14ac:dyDescent="0.6">
      <c r="E1496" s="53"/>
    </row>
    <row r="1497" spans="5:26" x14ac:dyDescent="0.6">
      <c r="E1497" s="53"/>
    </row>
    <row r="1498" spans="5:26" x14ac:dyDescent="0.6">
      <c r="E1498" s="53"/>
    </row>
    <row r="1499" spans="5:26" x14ac:dyDescent="0.6">
      <c r="E1499" s="53"/>
      <c r="Z1499" s="9" t="s">
        <v>20</v>
      </c>
    </row>
    <row r="1500" spans="5:26" x14ac:dyDescent="0.6">
      <c r="E1500" s="53"/>
    </row>
    <row r="1501" spans="5:26" x14ac:dyDescent="0.6">
      <c r="E1501" s="53"/>
    </row>
    <row r="1502" spans="5:26" x14ac:dyDescent="0.6">
      <c r="E1502" s="53"/>
    </row>
    <row r="1503" spans="5:26" x14ac:dyDescent="0.6">
      <c r="E1503" s="53"/>
    </row>
    <row r="1504" spans="5:26" x14ac:dyDescent="0.6">
      <c r="E1504" s="53"/>
    </row>
    <row r="1505" spans="5:5" x14ac:dyDescent="0.6">
      <c r="E1505" s="53"/>
    </row>
    <row r="1506" spans="5:5" x14ac:dyDescent="0.6">
      <c r="E1506" s="53"/>
    </row>
    <row r="1507" spans="5:5" x14ac:dyDescent="0.6">
      <c r="E1507" s="53"/>
    </row>
    <row r="1508" spans="5:5" x14ac:dyDescent="0.6">
      <c r="E1508" s="53"/>
    </row>
    <row r="1509" spans="5:5" x14ac:dyDescent="0.6">
      <c r="E1509" s="53"/>
    </row>
    <row r="1510" spans="5:5" x14ac:dyDescent="0.6">
      <c r="E1510" s="53"/>
    </row>
    <row r="1511" spans="5:5" x14ac:dyDescent="0.6">
      <c r="E1511" s="53"/>
    </row>
    <row r="1512" spans="5:5" x14ac:dyDescent="0.6">
      <c r="E1512" s="53"/>
    </row>
    <row r="1513" spans="5:5" x14ac:dyDescent="0.6">
      <c r="E1513" s="53"/>
    </row>
    <row r="1514" spans="5:5" x14ac:dyDescent="0.6">
      <c r="E1514" s="53"/>
    </row>
    <row r="1515" spans="5:5" x14ac:dyDescent="0.6">
      <c r="E1515" s="53"/>
    </row>
    <row r="1516" spans="5:5" x14ac:dyDescent="0.6">
      <c r="E1516" s="53"/>
    </row>
    <row r="1517" spans="5:5" x14ac:dyDescent="0.6">
      <c r="E1517" s="53"/>
    </row>
    <row r="1518" spans="5:5" x14ac:dyDescent="0.6">
      <c r="E1518" s="53"/>
    </row>
    <row r="1519" spans="5:5" x14ac:dyDescent="0.6">
      <c r="E1519" s="53"/>
    </row>
    <row r="1520" spans="5:5" x14ac:dyDescent="0.6">
      <c r="E1520" s="53"/>
    </row>
    <row r="1521" spans="5:5" x14ac:dyDescent="0.6">
      <c r="E1521" s="53"/>
    </row>
    <row r="1522" spans="5:5" x14ac:dyDescent="0.6">
      <c r="E1522" s="53"/>
    </row>
    <row r="1523" spans="5:5" x14ac:dyDescent="0.6">
      <c r="E1523" s="53"/>
    </row>
    <row r="1524" spans="5:5" x14ac:dyDescent="0.6">
      <c r="E1524" s="53"/>
    </row>
    <row r="1525" spans="5:5" x14ac:dyDescent="0.6">
      <c r="E1525" s="53"/>
    </row>
    <row r="1526" spans="5:5" x14ac:dyDescent="0.6">
      <c r="E1526" s="53"/>
    </row>
    <row r="1527" spans="5:5" x14ac:dyDescent="0.6">
      <c r="E1527" s="53"/>
    </row>
    <row r="1528" spans="5:5" x14ac:dyDescent="0.6">
      <c r="E1528" s="53"/>
    </row>
    <row r="1529" spans="5:5" x14ac:dyDescent="0.6">
      <c r="E1529" s="53"/>
    </row>
    <row r="1530" spans="5:5" x14ac:dyDescent="0.6">
      <c r="E1530" s="53"/>
    </row>
    <row r="1531" spans="5:5" x14ac:dyDescent="0.6">
      <c r="E1531" s="53"/>
    </row>
    <row r="1532" spans="5:5" x14ac:dyDescent="0.6">
      <c r="E1532" s="53"/>
    </row>
    <row r="1533" spans="5:5" x14ac:dyDescent="0.6">
      <c r="E1533" s="53"/>
    </row>
    <row r="1534" spans="5:5" x14ac:dyDescent="0.6">
      <c r="E1534" s="53"/>
    </row>
    <row r="1535" spans="5:5" x14ac:dyDescent="0.6">
      <c r="E1535" s="53"/>
    </row>
    <row r="1536" spans="5:5" x14ac:dyDescent="0.6">
      <c r="E1536" s="53"/>
    </row>
    <row r="1537" spans="5:5" x14ac:dyDescent="0.6">
      <c r="E1537" s="53"/>
    </row>
    <row r="1538" spans="5:5" x14ac:dyDescent="0.6">
      <c r="E1538" s="53"/>
    </row>
    <row r="1539" spans="5:5" x14ac:dyDescent="0.6">
      <c r="E1539" s="53"/>
    </row>
    <row r="1540" spans="5:5" x14ac:dyDescent="0.6">
      <c r="E1540" s="53"/>
    </row>
    <row r="1541" spans="5:5" x14ac:dyDescent="0.6">
      <c r="E1541" s="53"/>
    </row>
    <row r="1542" spans="5:5" x14ac:dyDescent="0.6">
      <c r="E1542" s="53"/>
    </row>
    <row r="1543" spans="5:5" x14ac:dyDescent="0.6">
      <c r="E1543" s="53"/>
    </row>
    <row r="1544" spans="5:5" x14ac:dyDescent="0.6">
      <c r="E1544" s="53"/>
    </row>
    <row r="1545" spans="5:5" x14ac:dyDescent="0.6">
      <c r="E1545" s="53"/>
    </row>
    <row r="1546" spans="5:5" x14ac:dyDescent="0.6">
      <c r="E1546" s="53"/>
    </row>
    <row r="1547" spans="5:5" x14ac:dyDescent="0.6">
      <c r="E1547" s="53"/>
    </row>
    <row r="1548" spans="5:5" x14ac:dyDescent="0.6">
      <c r="E1548" s="53"/>
    </row>
    <row r="1549" spans="5:5" x14ac:dyDescent="0.6">
      <c r="E1549" s="53"/>
    </row>
    <row r="1550" spans="5:5" x14ac:dyDescent="0.6">
      <c r="E1550" s="53"/>
    </row>
    <row r="1551" spans="5:5" x14ac:dyDescent="0.6">
      <c r="E1551" s="53"/>
    </row>
    <row r="1552" spans="5:5" x14ac:dyDescent="0.6">
      <c r="E1552" s="53"/>
    </row>
    <row r="1553" spans="5:5" x14ac:dyDescent="0.6">
      <c r="E1553" s="53"/>
    </row>
    <row r="1554" spans="5:5" x14ac:dyDescent="0.6">
      <c r="E1554" s="53"/>
    </row>
    <row r="1555" spans="5:5" x14ac:dyDescent="0.6">
      <c r="E1555" s="53"/>
    </row>
    <row r="1556" spans="5:5" x14ac:dyDescent="0.6">
      <c r="E1556" s="53"/>
    </row>
    <row r="1557" spans="5:5" x14ac:dyDescent="0.6">
      <c r="E1557" s="53"/>
    </row>
    <row r="1558" spans="5:5" x14ac:dyDescent="0.6">
      <c r="E1558" s="53"/>
    </row>
    <row r="1559" spans="5:5" x14ac:dyDescent="0.6">
      <c r="E1559" s="53"/>
    </row>
    <row r="1560" spans="5:5" x14ac:dyDescent="0.6">
      <c r="E1560" s="53"/>
    </row>
    <row r="1561" spans="5:5" x14ac:dyDescent="0.6">
      <c r="E1561" s="53"/>
    </row>
    <row r="1562" spans="5:5" x14ac:dyDescent="0.6">
      <c r="E1562" s="53"/>
    </row>
    <row r="1563" spans="5:5" x14ac:dyDescent="0.6">
      <c r="E1563" s="53"/>
    </row>
    <row r="1564" spans="5:5" x14ac:dyDescent="0.6">
      <c r="E1564" s="53"/>
    </row>
    <row r="1565" spans="5:5" x14ac:dyDescent="0.6">
      <c r="E1565" s="53"/>
    </row>
    <row r="1566" spans="5:5" x14ac:dyDescent="0.6">
      <c r="E1566" s="53"/>
    </row>
    <row r="1567" spans="5:5" x14ac:dyDescent="0.6">
      <c r="E1567" s="53"/>
    </row>
    <row r="1568" spans="5:5" x14ac:dyDescent="0.6">
      <c r="E1568" s="53"/>
    </row>
    <row r="1569" spans="5:5" x14ac:dyDescent="0.6">
      <c r="E1569" s="53"/>
    </row>
    <row r="1570" spans="5:5" x14ac:dyDescent="0.6">
      <c r="E1570" s="53"/>
    </row>
    <row r="1571" spans="5:5" x14ac:dyDescent="0.6">
      <c r="E1571" s="53"/>
    </row>
    <row r="1572" spans="5:5" x14ac:dyDescent="0.6">
      <c r="E1572" s="53"/>
    </row>
    <row r="1573" spans="5:5" x14ac:dyDescent="0.6">
      <c r="E1573" s="53"/>
    </row>
    <row r="1574" spans="5:5" x14ac:dyDescent="0.6">
      <c r="E1574" s="53"/>
    </row>
    <row r="1575" spans="5:5" x14ac:dyDescent="0.6">
      <c r="E1575" s="53"/>
    </row>
    <row r="1576" spans="5:5" x14ac:dyDescent="0.6">
      <c r="E1576" s="53"/>
    </row>
    <row r="1577" spans="5:5" x14ac:dyDescent="0.6">
      <c r="E1577" s="53"/>
    </row>
    <row r="1578" spans="5:5" x14ac:dyDescent="0.6">
      <c r="E1578" s="53"/>
    </row>
    <row r="1579" spans="5:5" x14ac:dyDescent="0.6">
      <c r="E1579" s="53"/>
    </row>
    <row r="1580" spans="5:5" x14ac:dyDescent="0.6">
      <c r="E1580" s="53"/>
    </row>
    <row r="1581" spans="5:5" x14ac:dyDescent="0.6">
      <c r="E1581" s="53"/>
    </row>
    <row r="1582" spans="5:5" x14ac:dyDescent="0.6">
      <c r="E1582" s="53"/>
    </row>
    <row r="1583" spans="5:5" x14ac:dyDescent="0.6">
      <c r="E1583" s="53"/>
    </row>
    <row r="1584" spans="5:5" x14ac:dyDescent="0.6">
      <c r="E1584" s="53"/>
    </row>
    <row r="1585" spans="5:5" x14ac:dyDescent="0.6">
      <c r="E1585" s="53"/>
    </row>
    <row r="1586" spans="5:5" x14ac:dyDescent="0.6">
      <c r="E1586" s="53"/>
    </row>
    <row r="1587" spans="5:5" x14ac:dyDescent="0.6">
      <c r="E1587" s="53"/>
    </row>
    <row r="1588" spans="5:5" x14ac:dyDescent="0.6">
      <c r="E1588" s="53"/>
    </row>
    <row r="1589" spans="5:5" x14ac:dyDescent="0.6">
      <c r="E1589" s="53"/>
    </row>
    <row r="1590" spans="5:5" x14ac:dyDescent="0.6">
      <c r="E1590" s="53"/>
    </row>
    <row r="1591" spans="5:5" x14ac:dyDescent="0.6">
      <c r="E1591" s="53"/>
    </row>
    <row r="1592" spans="5:5" x14ac:dyDescent="0.6">
      <c r="E1592" s="53"/>
    </row>
    <row r="1593" spans="5:5" x14ac:dyDescent="0.6">
      <c r="E1593" s="53"/>
    </row>
    <row r="1594" spans="5:5" x14ac:dyDescent="0.6">
      <c r="E1594" s="53"/>
    </row>
    <row r="1595" spans="5:5" x14ac:dyDescent="0.6">
      <c r="E1595" s="53"/>
    </row>
    <row r="1596" spans="5:5" x14ac:dyDescent="0.6">
      <c r="E1596" s="53"/>
    </row>
    <row r="1597" spans="5:5" x14ac:dyDescent="0.6">
      <c r="E1597" s="53"/>
    </row>
    <row r="1598" spans="5:5" x14ac:dyDescent="0.6">
      <c r="E1598" s="53"/>
    </row>
    <row r="1599" spans="5:5" x14ac:dyDescent="0.6">
      <c r="E1599" s="53"/>
    </row>
    <row r="1600" spans="5:5" x14ac:dyDescent="0.6">
      <c r="E1600" s="53"/>
    </row>
    <row r="1601" spans="5:5" x14ac:dyDescent="0.6">
      <c r="E1601" s="53"/>
    </row>
    <row r="1602" spans="5:5" x14ac:dyDescent="0.6">
      <c r="E1602" s="53"/>
    </row>
    <row r="1603" spans="5:5" x14ac:dyDescent="0.6">
      <c r="E1603" s="53"/>
    </row>
    <row r="1604" spans="5:5" x14ac:dyDescent="0.6">
      <c r="E1604" s="53"/>
    </row>
    <row r="1605" spans="5:5" x14ac:dyDescent="0.6">
      <c r="E1605" s="53"/>
    </row>
    <row r="1606" spans="5:5" x14ac:dyDescent="0.6">
      <c r="E1606" s="53"/>
    </row>
    <row r="1607" spans="5:5" x14ac:dyDescent="0.6">
      <c r="E1607" s="53"/>
    </row>
    <row r="1608" spans="5:5" x14ac:dyDescent="0.6">
      <c r="E1608" s="53"/>
    </row>
    <row r="1609" spans="5:5" x14ac:dyDescent="0.6">
      <c r="E1609" s="53"/>
    </row>
    <row r="1610" spans="5:5" x14ac:dyDescent="0.6">
      <c r="E1610" s="53"/>
    </row>
    <row r="1611" spans="5:5" x14ac:dyDescent="0.6">
      <c r="E1611" s="53"/>
    </row>
    <row r="1612" spans="5:5" x14ac:dyDescent="0.6">
      <c r="E1612" s="53"/>
    </row>
    <row r="1613" spans="5:5" x14ac:dyDescent="0.6">
      <c r="E1613" s="53"/>
    </row>
    <row r="1614" spans="5:5" x14ac:dyDescent="0.6">
      <c r="E1614" s="53"/>
    </row>
    <row r="1615" spans="5:5" x14ac:dyDescent="0.6">
      <c r="E1615" s="53"/>
    </row>
    <row r="1616" spans="5:5" x14ac:dyDescent="0.6">
      <c r="E1616" s="53"/>
    </row>
    <row r="1617" spans="5:5" x14ac:dyDescent="0.6">
      <c r="E1617" s="53"/>
    </row>
    <row r="1618" spans="5:5" x14ac:dyDescent="0.6">
      <c r="E1618" s="53"/>
    </row>
    <row r="1619" spans="5:5" x14ac:dyDescent="0.6">
      <c r="E1619" s="53"/>
    </row>
    <row r="1620" spans="5:5" x14ac:dyDescent="0.6">
      <c r="E1620" s="53"/>
    </row>
    <row r="1621" spans="5:5" x14ac:dyDescent="0.6">
      <c r="E1621" s="53"/>
    </row>
    <row r="1622" spans="5:5" x14ac:dyDescent="0.6">
      <c r="E1622" s="53"/>
    </row>
    <row r="1623" spans="5:5" x14ac:dyDescent="0.6">
      <c r="E1623" s="53"/>
    </row>
    <row r="1624" spans="5:5" x14ac:dyDescent="0.6">
      <c r="E1624" s="53"/>
    </row>
    <row r="1625" spans="5:5" x14ac:dyDescent="0.6">
      <c r="E1625" s="53"/>
    </row>
    <row r="1626" spans="5:5" x14ac:dyDescent="0.6">
      <c r="E1626" s="53"/>
    </row>
    <row r="1627" spans="5:5" x14ac:dyDescent="0.6">
      <c r="E1627" s="53"/>
    </row>
    <row r="1628" spans="5:5" x14ac:dyDescent="0.6">
      <c r="E1628" s="53"/>
    </row>
    <row r="1629" spans="5:5" x14ac:dyDescent="0.6">
      <c r="E1629" s="53"/>
    </row>
    <row r="1630" spans="5:5" x14ac:dyDescent="0.6">
      <c r="E1630" s="53"/>
    </row>
    <row r="1631" spans="5:5" x14ac:dyDescent="0.6">
      <c r="E1631" s="53"/>
    </row>
    <row r="1632" spans="5:5" x14ac:dyDescent="0.6">
      <c r="E1632" s="53"/>
    </row>
    <row r="1633" spans="5:5" x14ac:dyDescent="0.6">
      <c r="E1633" s="53"/>
    </row>
    <row r="1634" spans="5:5" x14ac:dyDescent="0.6">
      <c r="E1634" s="53"/>
    </row>
    <row r="1635" spans="5:5" x14ac:dyDescent="0.6">
      <c r="E1635" s="53"/>
    </row>
    <row r="1636" spans="5:5" x14ac:dyDescent="0.6">
      <c r="E1636" s="53"/>
    </row>
    <row r="1637" spans="5:5" x14ac:dyDescent="0.6">
      <c r="E1637" s="53"/>
    </row>
    <row r="1638" spans="5:5" x14ac:dyDescent="0.6">
      <c r="E1638" s="53"/>
    </row>
    <row r="1639" spans="5:5" x14ac:dyDescent="0.6">
      <c r="E1639" s="53"/>
    </row>
    <row r="1640" spans="5:5" x14ac:dyDescent="0.6">
      <c r="E1640" s="53"/>
    </row>
    <row r="1641" spans="5:5" x14ac:dyDescent="0.6">
      <c r="E1641" s="53"/>
    </row>
    <row r="1642" spans="5:5" x14ac:dyDescent="0.6">
      <c r="E1642" s="53"/>
    </row>
    <row r="1643" spans="5:5" x14ac:dyDescent="0.6">
      <c r="E1643" s="53"/>
    </row>
    <row r="1644" spans="5:5" x14ac:dyDescent="0.6">
      <c r="E1644" s="53"/>
    </row>
    <row r="1645" spans="5:5" x14ac:dyDescent="0.6">
      <c r="E1645" s="53"/>
    </row>
    <row r="1646" spans="5:5" x14ac:dyDescent="0.6">
      <c r="E1646" s="53"/>
    </row>
    <row r="1647" spans="5:5" x14ac:dyDescent="0.6">
      <c r="E1647" s="53"/>
    </row>
    <row r="1648" spans="5:5" x14ac:dyDescent="0.6">
      <c r="E1648" s="53"/>
    </row>
    <row r="1649" spans="5:5" x14ac:dyDescent="0.6">
      <c r="E1649" s="53"/>
    </row>
    <row r="1650" spans="5:5" x14ac:dyDescent="0.6">
      <c r="E1650" s="53"/>
    </row>
    <row r="1651" spans="5:5" x14ac:dyDescent="0.6">
      <c r="E1651" s="53"/>
    </row>
    <row r="1652" spans="5:5" x14ac:dyDescent="0.6">
      <c r="E1652" s="53"/>
    </row>
    <row r="1653" spans="5:5" x14ac:dyDescent="0.6">
      <c r="E1653" s="53"/>
    </row>
    <row r="1654" spans="5:5" x14ac:dyDescent="0.6">
      <c r="E1654" s="53"/>
    </row>
    <row r="1655" spans="5:5" x14ac:dyDescent="0.6">
      <c r="E1655" s="53"/>
    </row>
    <row r="1656" spans="5:5" x14ac:dyDescent="0.6">
      <c r="E1656" s="53"/>
    </row>
    <row r="1657" spans="5:5" x14ac:dyDescent="0.6">
      <c r="E1657" s="53"/>
    </row>
    <row r="1658" spans="5:5" x14ac:dyDescent="0.6">
      <c r="E1658" s="53"/>
    </row>
    <row r="1659" spans="5:5" x14ac:dyDescent="0.6">
      <c r="E1659" s="53"/>
    </row>
    <row r="1660" spans="5:5" x14ac:dyDescent="0.6">
      <c r="E1660" s="53"/>
    </row>
    <row r="1661" spans="5:5" x14ac:dyDescent="0.6">
      <c r="E1661" s="53"/>
    </row>
    <row r="1662" spans="5:5" x14ac:dyDescent="0.6">
      <c r="E1662" s="53"/>
    </row>
    <row r="1663" spans="5:5" x14ac:dyDescent="0.6">
      <c r="E1663" s="53"/>
    </row>
    <row r="1664" spans="5:5" x14ac:dyDescent="0.6">
      <c r="E1664" s="53"/>
    </row>
    <row r="1665" spans="5:5" x14ac:dyDescent="0.6">
      <c r="E1665" s="53"/>
    </row>
    <row r="1666" spans="5:5" x14ac:dyDescent="0.6">
      <c r="E1666" s="53"/>
    </row>
    <row r="1667" spans="5:5" x14ac:dyDescent="0.6">
      <c r="E1667" s="53"/>
    </row>
    <row r="1668" spans="5:5" x14ac:dyDescent="0.6">
      <c r="E1668" s="53"/>
    </row>
    <row r="1669" spans="5:5" x14ac:dyDescent="0.6">
      <c r="E1669" s="53"/>
    </row>
    <row r="1670" spans="5:5" x14ac:dyDescent="0.6">
      <c r="E1670" s="53"/>
    </row>
    <row r="1671" spans="5:5" x14ac:dyDescent="0.6">
      <c r="E1671" s="53"/>
    </row>
    <row r="1672" spans="5:5" x14ac:dyDescent="0.6">
      <c r="E1672" s="53"/>
    </row>
    <row r="1673" spans="5:5" x14ac:dyDescent="0.6">
      <c r="E1673" s="53"/>
    </row>
    <row r="1674" spans="5:5" x14ac:dyDescent="0.6">
      <c r="E1674" s="53"/>
    </row>
    <row r="1675" spans="5:5" x14ac:dyDescent="0.6">
      <c r="E1675" s="53"/>
    </row>
    <row r="1676" spans="5:5" x14ac:dyDescent="0.6">
      <c r="E1676" s="53"/>
    </row>
    <row r="1677" spans="5:5" x14ac:dyDescent="0.6">
      <c r="E1677" s="53"/>
    </row>
    <row r="1678" spans="5:5" x14ac:dyDescent="0.6">
      <c r="E1678" s="53"/>
    </row>
    <row r="1679" spans="5:5" x14ac:dyDescent="0.6">
      <c r="E1679" s="53"/>
    </row>
    <row r="1680" spans="5:5" x14ac:dyDescent="0.6">
      <c r="E1680" s="53"/>
    </row>
    <row r="1681" spans="5:5" x14ac:dyDescent="0.6">
      <c r="E1681" s="53"/>
    </row>
    <row r="1682" spans="5:5" x14ac:dyDescent="0.6">
      <c r="E1682" s="53"/>
    </row>
    <row r="1683" spans="5:5" x14ac:dyDescent="0.6">
      <c r="E1683" s="53"/>
    </row>
    <row r="1684" spans="5:5" x14ac:dyDescent="0.6">
      <c r="E1684" s="53"/>
    </row>
    <row r="1685" spans="5:5" x14ac:dyDescent="0.6">
      <c r="E1685" s="53"/>
    </row>
    <row r="1686" spans="5:5" x14ac:dyDescent="0.6">
      <c r="E1686" s="53"/>
    </row>
    <row r="1687" spans="5:5" x14ac:dyDescent="0.6">
      <c r="E1687" s="53"/>
    </row>
    <row r="1688" spans="5:5" x14ac:dyDescent="0.6">
      <c r="E1688" s="53"/>
    </row>
    <row r="1689" spans="5:5" x14ac:dyDescent="0.6">
      <c r="E1689" s="53"/>
    </row>
    <row r="1690" spans="5:5" x14ac:dyDescent="0.6">
      <c r="E1690" s="53"/>
    </row>
    <row r="1691" spans="5:5" x14ac:dyDescent="0.6">
      <c r="E1691" s="53"/>
    </row>
    <row r="1692" spans="5:5" x14ac:dyDescent="0.6">
      <c r="E1692" s="53"/>
    </row>
    <row r="1693" spans="5:5" x14ac:dyDescent="0.6">
      <c r="E1693" s="53"/>
    </row>
    <row r="1694" spans="5:5" x14ac:dyDescent="0.6">
      <c r="E1694" s="53"/>
    </row>
    <row r="1695" spans="5:5" x14ac:dyDescent="0.6">
      <c r="E1695" s="53"/>
    </row>
    <row r="1696" spans="5:5" x14ac:dyDescent="0.6">
      <c r="E1696" s="53"/>
    </row>
    <row r="1697" spans="5:5" x14ac:dyDescent="0.6">
      <c r="E1697" s="53"/>
    </row>
    <row r="1698" spans="5:5" x14ac:dyDescent="0.6">
      <c r="E1698" s="53"/>
    </row>
    <row r="1699" spans="5:5" x14ac:dyDescent="0.6">
      <c r="E1699" s="53"/>
    </row>
    <row r="1700" spans="5:5" x14ac:dyDescent="0.6">
      <c r="E1700" s="53"/>
    </row>
    <row r="1701" spans="5:5" x14ac:dyDescent="0.6">
      <c r="E1701" s="53"/>
    </row>
    <row r="1702" spans="5:5" x14ac:dyDescent="0.6">
      <c r="E1702" s="53"/>
    </row>
    <row r="1703" spans="5:5" x14ac:dyDescent="0.6">
      <c r="E1703" s="53"/>
    </row>
    <row r="1704" spans="5:5" x14ac:dyDescent="0.6">
      <c r="E1704" s="53"/>
    </row>
    <row r="1705" spans="5:5" x14ac:dyDescent="0.6">
      <c r="E1705" s="53"/>
    </row>
    <row r="1706" spans="5:5" x14ac:dyDescent="0.6">
      <c r="E1706" s="53"/>
    </row>
    <row r="1707" spans="5:5" x14ac:dyDescent="0.6">
      <c r="E1707" s="53"/>
    </row>
    <row r="1708" spans="5:5" x14ac:dyDescent="0.6">
      <c r="E1708" s="53"/>
    </row>
    <row r="1709" spans="5:5" x14ac:dyDescent="0.6">
      <c r="E1709" s="53"/>
    </row>
    <row r="1710" spans="5:5" x14ac:dyDescent="0.6">
      <c r="E1710" s="53"/>
    </row>
    <row r="1711" spans="5:5" x14ac:dyDescent="0.6">
      <c r="E1711" s="53"/>
    </row>
    <row r="1712" spans="5:5" x14ac:dyDescent="0.6">
      <c r="E1712" s="53"/>
    </row>
    <row r="1713" spans="5:5" x14ac:dyDescent="0.6">
      <c r="E1713" s="53"/>
    </row>
    <row r="1714" spans="5:5" x14ac:dyDescent="0.6">
      <c r="E1714" s="53"/>
    </row>
    <row r="1715" spans="5:5" x14ac:dyDescent="0.6">
      <c r="E1715" s="53"/>
    </row>
    <row r="1716" spans="5:5" x14ac:dyDescent="0.6">
      <c r="E1716" s="53"/>
    </row>
    <row r="1717" spans="5:5" x14ac:dyDescent="0.6">
      <c r="E1717" s="53"/>
    </row>
    <row r="1718" spans="5:5" x14ac:dyDescent="0.6">
      <c r="E1718" s="53"/>
    </row>
    <row r="1719" spans="5:5" x14ac:dyDescent="0.6">
      <c r="E1719" s="53"/>
    </row>
    <row r="1720" spans="5:5" x14ac:dyDescent="0.6">
      <c r="E1720" s="53"/>
    </row>
    <row r="1721" spans="5:5" x14ac:dyDescent="0.6">
      <c r="E1721" s="53"/>
    </row>
    <row r="1722" spans="5:5" x14ac:dyDescent="0.6">
      <c r="E1722" s="53"/>
    </row>
    <row r="1723" spans="5:5" x14ac:dyDescent="0.6">
      <c r="E1723" s="53"/>
    </row>
    <row r="1724" spans="5:5" x14ac:dyDescent="0.6">
      <c r="E1724" s="53"/>
    </row>
    <row r="1725" spans="5:5" x14ac:dyDescent="0.6">
      <c r="E1725" s="53"/>
    </row>
    <row r="1726" spans="5:5" x14ac:dyDescent="0.6">
      <c r="E1726" s="53"/>
    </row>
    <row r="1727" spans="5:5" x14ac:dyDescent="0.6">
      <c r="E1727" s="53"/>
    </row>
    <row r="1728" spans="5:5" x14ac:dyDescent="0.6">
      <c r="E1728" s="53"/>
    </row>
    <row r="1729" spans="5:5" x14ac:dyDescent="0.6">
      <c r="E1729" s="53"/>
    </row>
    <row r="1730" spans="5:5" x14ac:dyDescent="0.6">
      <c r="E1730" s="53"/>
    </row>
    <row r="1731" spans="5:5" x14ac:dyDescent="0.6">
      <c r="E1731" s="53"/>
    </row>
    <row r="1732" spans="5:5" x14ac:dyDescent="0.6">
      <c r="E1732" s="53"/>
    </row>
    <row r="1733" spans="5:5" x14ac:dyDescent="0.6">
      <c r="E1733" s="53"/>
    </row>
    <row r="1734" spans="5:5" x14ac:dyDescent="0.6">
      <c r="E1734" s="53"/>
    </row>
    <row r="1735" spans="5:5" x14ac:dyDescent="0.6">
      <c r="E1735" s="53"/>
    </row>
    <row r="1736" spans="5:5" x14ac:dyDescent="0.6">
      <c r="E1736" s="53"/>
    </row>
    <row r="1737" spans="5:5" x14ac:dyDescent="0.6">
      <c r="E1737" s="53"/>
    </row>
    <row r="1738" spans="5:5" x14ac:dyDescent="0.6">
      <c r="E1738" s="53"/>
    </row>
    <row r="1739" spans="5:5" x14ac:dyDescent="0.6">
      <c r="E1739" s="53"/>
    </row>
    <row r="1740" spans="5:5" x14ac:dyDescent="0.6">
      <c r="E1740" s="53"/>
    </row>
    <row r="1741" spans="5:5" x14ac:dyDescent="0.6">
      <c r="E1741" s="53"/>
    </row>
    <row r="1742" spans="5:5" x14ac:dyDescent="0.6">
      <c r="E1742" s="53"/>
    </row>
    <row r="1743" spans="5:5" x14ac:dyDescent="0.6">
      <c r="E1743" s="53"/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C07A8824-D66F-4C91-8B40-C13ADF1116AE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8" r:id="rId4" name="btnChartSettings">
          <controlPr autoLine="0" r:id="rId5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4" name="btnChartSettings"/>
      </mc:Fallback>
    </mc:AlternateContent>
    <mc:AlternateContent xmlns:mc="http://schemas.openxmlformats.org/markup-compatibility/2006">
      <mc:Choice Requires="x14">
        <control shapeId="1086" r:id="rId6" name="btnChartRequest">
          <controlPr autoLine="0" r:id="rId7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6" name="btnChartRequest"/>
      </mc:Fallback>
    </mc:AlternateContent>
    <mc:AlternateContent xmlns:mc="http://schemas.openxmlformats.org/markup-compatibility/2006">
      <mc:Choice Requires="x14">
        <control shapeId="1084" r:id="rId8" name="btnSEQon">
          <controlPr defaultSize="0" autoLine="0" r:id="rId9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8" name="btnSEQon"/>
      </mc:Fallback>
    </mc:AlternateContent>
    <mc:AlternateContent xmlns:mc="http://schemas.openxmlformats.org/markup-compatibility/2006">
      <mc:Choice Requires="x14">
        <control shapeId="1083" r:id="rId10" name="btnSEQoff">
          <controlPr defaultSize="0" autoLine="0" r:id="rId11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0" name="btnSEQoff"/>
      </mc:Fallback>
    </mc:AlternateContent>
    <mc:AlternateContent xmlns:mc="http://schemas.openxmlformats.org/markup-compatibility/2006">
      <mc:Choice Requires="x14">
        <control shapeId="1082" r:id="rId12" name="lblCtrlRMessage">
          <controlPr defaultSize="0" autoLine="0" r:id="rId13">
            <anchor>
              <from>
                <xdr:col>1</xdr:col>
                <xdr:colOff>47625</xdr:colOff>
                <xdr:row>3</xdr:row>
                <xdr:rowOff>0</xdr:rowOff>
              </from>
              <to>
                <xdr:col>2</xdr:col>
                <xdr:colOff>1133475</xdr:colOff>
                <xdr:row>3</xdr:row>
                <xdr:rowOff>171450</xdr:rowOff>
              </to>
            </anchor>
          </controlPr>
        </control>
      </mc:Choice>
      <mc:Fallback>
        <control shapeId="1082" r:id="rId12" name="lblCtrlRMessage"/>
      </mc:Fallback>
    </mc:AlternateContent>
    <mc:AlternateContent xmlns:mc="http://schemas.openxmlformats.org/markup-compatibility/2006">
      <mc:Choice Requires="x14">
        <control shapeId="1070" r:id="rId14" name="txtVersion">
          <controlPr defaultSize="0" disabled="1" autoLine="0" r:id="rId15">
            <anchor>
              <from>
                <xdr:col>4</xdr:col>
                <xdr:colOff>962025</xdr:colOff>
                <xdr:row>0</xdr:row>
                <xdr:rowOff>76200</xdr:rowOff>
              </from>
              <to>
                <xdr:col>4</xdr:col>
                <xdr:colOff>2219325</xdr:colOff>
                <xdr:row>1</xdr:row>
                <xdr:rowOff>57150</xdr:rowOff>
              </to>
            </anchor>
          </controlPr>
        </control>
      </mc:Choice>
      <mc:Fallback>
        <control shapeId="1070" r:id="rId14" name="txtVersion"/>
      </mc:Fallback>
    </mc:AlternateContent>
    <mc:AlternateContent xmlns:mc="http://schemas.openxmlformats.org/markup-compatibility/2006">
      <mc:Choice Requires="x14">
        <control shapeId="1069" r:id="rId16" name="btnFindSeries">
          <controlPr defaultSize="0" autoLine="0" r:id="rId17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219075</xdr:rowOff>
              </to>
            </anchor>
          </controlPr>
        </control>
      </mc:Choice>
      <mc:Fallback>
        <control shapeId="1069" r:id="rId16" name="btnFindSeries"/>
      </mc:Fallback>
    </mc:AlternateContent>
    <mc:AlternateContent xmlns:mc="http://schemas.openxmlformats.org/markup-compatibility/2006">
      <mc:Choice Requires="x14">
        <control shapeId="1068" r:id="rId18" name="lblTotalTime">
          <controlPr defaultSize="0" autoLine="0" r:id="rId19">
            <anchor moveWithCells="1"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1619250</xdr:colOff>
                <xdr:row>2</xdr:row>
                <xdr:rowOff>200025</xdr:rowOff>
              </to>
            </anchor>
          </controlPr>
        </control>
      </mc:Choice>
      <mc:Fallback>
        <control shapeId="1068" r:id="rId18" name="lblTotalTime"/>
      </mc:Fallback>
    </mc:AlternateContent>
    <mc:AlternateContent xmlns:mc="http://schemas.openxmlformats.org/markup-compatibility/2006">
      <mc:Choice Requires="x14">
        <control shapeId="1066" r:id="rId20" name="btnTSL">
          <controlPr defaultSize="0" autoLine="0" r:id="rId21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20" name="btnTSL"/>
      </mc:Fallback>
    </mc:AlternateContent>
    <mc:AlternateContent xmlns:mc="http://schemas.openxmlformats.org/markup-compatibility/2006">
      <mc:Choice Requires="x14">
        <control shapeId="1064" r:id="rId22" name="cboFrequency">
          <controlPr defaultSize="0" autoLine="0" r:id="rId23">
            <anchor moveWithCells="1" sizeWithCells="1">
              <from>
                <xdr:col>7</xdr:col>
                <xdr:colOff>752475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22" name="cboFrequency"/>
      </mc:Fallback>
    </mc:AlternateContent>
    <mc:AlternateContent xmlns:mc="http://schemas.openxmlformats.org/markup-compatibility/2006">
      <mc:Choice Requires="x14">
        <control shapeId="1063" r:id="rId24" name="btnDataDestination">
          <controlPr defaultSize="0" autoLine="0" r:id="rId25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24" name="btnDataDestination"/>
      </mc:Fallback>
    </mc:AlternateContent>
    <mc:AlternateContent xmlns:mc="http://schemas.openxmlformats.org/markup-compatibility/2006">
      <mc:Choice Requires="x14">
        <control shapeId="1062" r:id="rId26" name="btnDatatypeEditor">
          <controlPr defaultSize="0" autoLine="0" r:id="rId27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6" name="btnDatatypeEditor"/>
      </mc:Fallback>
    </mc:AlternateContent>
    <mc:AlternateContent xmlns:mc="http://schemas.openxmlformats.org/markup-compatibility/2006">
      <mc:Choice Requires="x14">
        <control shapeId="1061" r:id="rId28" name="btnSeriesEditor">
          <controlPr defaultSize="0" autoLine="0" r:id="rId29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28" name="btnSeriesEditor"/>
      </mc:Fallback>
    </mc:AlternateContent>
    <mc:AlternateContent xmlns:mc="http://schemas.openxmlformats.org/markup-compatibility/2006">
      <mc:Choice Requires="x14">
        <control shapeId="1060" r:id="rId30" name="btnDatatypes">
          <controlPr defaultSize="0" autoLine="0" r:id="rId31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30" name="btnDatatypes"/>
      </mc:Fallback>
    </mc:AlternateContent>
    <mc:AlternateContent xmlns:mc="http://schemas.openxmlformats.org/markup-compatibility/2006">
      <mc:Choice Requires="x14">
        <control shapeId="1059" r:id="rId32" name="btnFunctions">
          <controlPr defaultSize="0" autoLine="0" r:id="rId33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2" name="btnFunctions"/>
      </mc:Fallback>
    </mc:AlternateContent>
    <mc:AlternateContent xmlns:mc="http://schemas.openxmlformats.org/markup-compatibility/2006">
      <mc:Choice Requires="x14">
        <control shapeId="1058" r:id="rId34" name="btnExpressionPicker">
          <controlPr defaultSize="0" autoLine="0" r:id="rId35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4" name="btnExpressionPicker"/>
      </mc:Fallback>
    </mc:AlternateContent>
    <mc:AlternateContent xmlns:mc="http://schemas.openxmlformats.org/markup-compatibility/2006">
      <mc:Choice Requires="x14">
        <control shapeId="1057" r:id="rId36" name="btnListCreate">
          <controlPr autoLine="0" r:id="rId37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6" name="btnListCreate"/>
      </mc:Fallback>
    </mc:AlternateContent>
    <mc:AlternateContent xmlns:mc="http://schemas.openxmlformats.org/markup-compatibility/2006">
      <mc:Choice Requires="x14">
        <control shapeId="1056" r:id="rId38" name="btnSeries">
          <controlPr defaultSize="0" autoLine="0" r:id="rId39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8" name="btnSeries"/>
      </mc:Fallback>
    </mc:AlternateContent>
    <mc:AlternateContent xmlns:mc="http://schemas.openxmlformats.org/markup-compatibility/2006">
      <mc:Choice Requires="x14">
        <control shapeId="1055" r:id="rId40" name="btnListPicker">
          <controlPr defaultSize="0" autoFill="0" autoLine="0" r:id="rId41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0" name="btnListPicker"/>
      </mc:Fallback>
    </mc:AlternateContent>
    <mc:AlternateContent xmlns:mc="http://schemas.openxmlformats.org/markup-compatibility/2006">
      <mc:Choice Requires="x14">
        <control shapeId="1054" r:id="rId42" name="btnFormatOptions">
          <controlPr defaultSize="0" autoLine="0" r:id="rId43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42" name="btnFormatOptions"/>
      </mc:Fallback>
    </mc:AlternateContent>
    <mc:AlternateContent xmlns:mc="http://schemas.openxmlformats.org/markup-compatibility/2006">
      <mc:Choice Requires="x14">
        <control shapeId="1053" r:id="rId44" name="btnList">
          <controlPr autoLine="0" r:id="rId45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44" name="btnList"/>
      </mc:Fallback>
    </mc:AlternateContent>
    <mc:AlternateContent xmlns:mc="http://schemas.openxmlformats.org/markup-compatibility/2006">
      <mc:Choice Requires="x14">
        <control shapeId="1052" r:id="rId46" name="btnStatic">
          <controlPr defaultSize="0" autoLine="0" r:id="rId47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46" name="btnStatic"/>
      </mc:Fallback>
    </mc:AlternateContent>
    <mc:AlternateContent xmlns:mc="http://schemas.openxmlformats.org/markup-compatibility/2006">
      <mc:Choice Requires="x14">
        <control shapeId="1051" r:id="rId48" name="btnTimeSeries">
          <controlPr defaultSize="0" autoLine="0" r:id="rId49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48" name="btnTimeSeries"/>
      </mc:Fallback>
    </mc:AlternateContent>
    <mc:AlternateContent xmlns:mc="http://schemas.openxmlformats.org/markup-compatibility/2006">
      <mc:Choice Requires="x14">
        <control shapeId="1050" r:id="rId50" name="btnYes">
          <controlPr defaultSize="0" autoLine="0" r:id="rId51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50" name="btnYes"/>
      </mc:Fallback>
    </mc:AlternateContent>
    <mc:AlternateContent xmlns:mc="http://schemas.openxmlformats.org/markup-compatibility/2006">
      <mc:Choice Requires="x14">
        <control shapeId="1049" r:id="rId52" name="btnYesNO">
          <controlPr defaultSize="0" autoLine="0" r:id="rId53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52" name="btnYesNO"/>
      </mc:Fallback>
    </mc:AlternateContent>
    <mc:AlternateContent xmlns:mc="http://schemas.openxmlformats.org/markup-compatibility/2006">
      <mc:Choice Requires="x14">
        <control shapeId="1048" r:id="rId54" name="btnNo">
          <controlPr defaultSize="0" autoLine="0" autoPict="0" r:id="rId55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54" name="btnNo"/>
      </mc:Fallback>
    </mc:AlternateContent>
    <mc:AlternateContent xmlns:mc="http://schemas.openxmlformats.org/markup-compatibility/2006">
      <mc:Choice Requires="x14">
        <control shapeId="1047" r:id="rId56" name="lblLiveRequest">
          <controlPr defaultSize="0" autoLine="0" r:id="rId57">
            <anchor moveWithCells="1"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1609725</xdr:colOff>
                <xdr:row>1</xdr:row>
                <xdr:rowOff>190500</xdr:rowOff>
              </to>
            </anchor>
          </controlPr>
        </control>
      </mc:Choice>
      <mc:Fallback>
        <control shapeId="1047" r:id="rId56" name="lblLiveRequest"/>
      </mc:Fallback>
    </mc:AlternateContent>
    <mc:AlternateContent xmlns:mc="http://schemas.openxmlformats.org/markup-compatibility/2006">
      <mc:Choice Requires="x14">
        <control shapeId="1046" r:id="rId58" name="lblTotalRequest">
          <controlPr defaultSize="0" autoLine="0" r:id="rId59">
            <anchor moveWithCells="1"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1609725</xdr:colOff>
                <xdr:row>0</xdr:row>
                <xdr:rowOff>200025</xdr:rowOff>
              </to>
            </anchor>
          </controlPr>
        </control>
      </mc:Choice>
      <mc:Fallback>
        <control shapeId="1046" r:id="rId58" name="lblTotalRequest"/>
      </mc:Fallback>
    </mc:AlternateContent>
    <mc:AlternateContent xmlns:mc="http://schemas.openxmlformats.org/markup-compatibility/2006">
      <mc:Choice Requires="x14">
        <control shapeId="1043" r:id="rId60" name="Label2">
          <controlPr defaultSize="0" autoLine="0" r:id="rId61">
            <anchor>
              <from>
                <xdr:col>4</xdr:col>
                <xdr:colOff>2381250</xdr:colOff>
                <xdr:row>1</xdr:row>
                <xdr:rowOff>314325</xdr:rowOff>
              </from>
              <to>
                <xdr:col>5</xdr:col>
                <xdr:colOff>596900</xdr:colOff>
                <xdr:row>1</xdr:row>
                <xdr:rowOff>447675</xdr:rowOff>
              </to>
            </anchor>
          </controlPr>
        </control>
      </mc:Choice>
      <mc:Fallback>
        <control shapeId="1043" r:id="rId60" name="Label2"/>
      </mc:Fallback>
    </mc:AlternateContent>
    <mc:AlternateContent xmlns:mc="http://schemas.openxmlformats.org/markup-compatibility/2006">
      <mc:Choice Requires="x14">
        <control shapeId="1041" r:id="rId62" name="Label5">
          <controlPr defaultSize="0" autoLine="0" r:id="rId63">
            <anchor>
              <from>
                <xdr:col>4</xdr:col>
                <xdr:colOff>2390775</xdr:colOff>
                <xdr:row>0</xdr:row>
                <xdr:rowOff>114300</xdr:rowOff>
              </from>
              <to>
                <xdr:col>5</xdr:col>
                <xdr:colOff>15875</xdr:colOff>
                <xdr:row>0</xdr:row>
                <xdr:rowOff>247650</xdr:rowOff>
              </to>
            </anchor>
          </controlPr>
        </control>
      </mc:Choice>
      <mc:Fallback>
        <control shapeId="1041" r:id="rId62" name="Label5"/>
      </mc:Fallback>
    </mc:AlternateContent>
    <mc:AlternateContent xmlns:mc="http://schemas.openxmlformats.org/markup-compatibility/2006">
      <mc:Choice Requires="x14">
        <control shapeId="1040" r:id="rId64" name="Label4">
          <controlPr defaultSize="0" autoLine="0" r:id="rId65">
            <anchor moveWithCells="1">
              <from>
                <xdr:col>8</xdr:col>
                <xdr:colOff>409575</xdr:colOff>
                <xdr:row>1</xdr:row>
                <xdr:rowOff>333375</xdr:rowOff>
              </from>
              <to>
                <xdr:col>10</xdr:col>
                <xdr:colOff>908050</xdr:colOff>
                <xdr:row>2</xdr:row>
                <xdr:rowOff>9525</xdr:rowOff>
              </to>
            </anchor>
          </controlPr>
        </control>
      </mc:Choice>
      <mc:Fallback>
        <control shapeId="1040" r:id="rId64" name="Label4"/>
      </mc:Fallback>
    </mc:AlternateContent>
    <mc:AlternateContent xmlns:mc="http://schemas.openxmlformats.org/markup-compatibility/2006">
      <mc:Choice Requires="x14">
        <control shapeId="1038" r:id="rId66" name="txtNAString">
          <controlPr defaultSize="0" disabled="1" autoLine="0" r:id="rId67">
            <anchor>
              <from>
                <xdr:col>10</xdr:col>
                <xdr:colOff>990600</xdr:colOff>
                <xdr:row>1</xdr:row>
                <xdr:rowOff>304800</xdr:rowOff>
              </from>
              <to>
                <xdr:col>10</xdr:col>
                <xdr:colOff>2171700</xdr:colOff>
                <xdr:row>2</xdr:row>
                <xdr:rowOff>57150</xdr:rowOff>
              </to>
            </anchor>
          </controlPr>
        </control>
      </mc:Choice>
      <mc:Fallback>
        <control shapeId="1038" r:id="rId66" name="txtNAString"/>
      </mc:Fallback>
    </mc:AlternateContent>
    <mc:AlternateContent xmlns:mc="http://schemas.openxmlformats.org/markup-compatibility/2006">
      <mc:Choice Requires="x14">
        <control shapeId="1037" r:id="rId68" name="Label3">
          <controlPr defaultSize="0" autoLine="0" r:id="rId69">
            <anchor>
              <from>
                <xdr:col>4</xdr:col>
                <xdr:colOff>2400300</xdr:colOff>
                <xdr:row>2</xdr:row>
                <xdr:rowOff>85725</xdr:rowOff>
              </from>
              <to>
                <xdr:col>5</xdr:col>
                <xdr:colOff>301625</xdr:colOff>
                <xdr:row>2</xdr:row>
                <xdr:rowOff>219075</xdr:rowOff>
              </to>
            </anchor>
          </controlPr>
        </control>
      </mc:Choice>
      <mc:Fallback>
        <control shapeId="1037" r:id="rId68" name="Label3"/>
      </mc:Fallback>
    </mc:AlternateContent>
    <mc:AlternateContent xmlns:mc="http://schemas.openxmlformats.org/markup-compatibility/2006">
      <mc:Choice Requires="x14">
        <control shapeId="1031" r:id="rId70" name="txtPreMacro">
          <controlPr locked="0" defaultSize="0" autoLine="0" r:id="rId71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70" name="txtPreMacro"/>
      </mc:Fallback>
    </mc:AlternateContent>
    <mc:AlternateContent xmlns:mc="http://schemas.openxmlformats.org/markup-compatibility/2006">
      <mc:Choice Requires="x14">
        <control shapeId="1030" r:id="rId72" name="txtPostMacro">
          <controlPr locked="0" defaultSize="0" autoLine="0" r:id="rId71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72" name="txtPostMacro"/>
      </mc:Fallback>
    </mc:AlternateContent>
    <mc:AlternateContent xmlns:mc="http://schemas.openxmlformats.org/markup-compatibility/2006">
      <mc:Choice Requires="x14">
        <control shapeId="1029" r:id="rId73" name="Label1">
          <controlPr defaultSize="0" autoLine="0" r:id="rId74">
            <anchor>
              <from>
                <xdr:col>4</xdr:col>
                <xdr:colOff>2390775</xdr:colOff>
                <xdr:row>1</xdr:row>
                <xdr:rowOff>85725</xdr:rowOff>
              </from>
              <to>
                <xdr:col>5</xdr:col>
                <xdr:colOff>520700</xdr:colOff>
                <xdr:row>1</xdr:row>
                <xdr:rowOff>219075</xdr:rowOff>
              </to>
            </anchor>
          </controlPr>
        </control>
      </mc:Choice>
      <mc:Fallback>
        <control shapeId="1029" r:id="rId73" name="Label1"/>
      </mc:Fallback>
    </mc:AlternateContent>
    <mc:AlternateContent xmlns:mc="http://schemas.openxmlformats.org/markup-compatibility/2006">
      <mc:Choice Requires="x14">
        <control shapeId="1026" r:id="rId75" name="Image2">
          <controlPr defaultSize="0" autoLine="0" r:id="rId76">
            <anchor>
              <from>
                <xdr:col>2</xdr:col>
                <xdr:colOff>1114425</xdr:colOff>
                <xdr:row>0</xdr:row>
                <xdr:rowOff>38100</xdr:rowOff>
              </from>
              <to>
                <xdr:col>4</xdr:col>
                <xdr:colOff>606425</xdr:colOff>
                <xdr:row>1</xdr:row>
                <xdr:rowOff>161925</xdr:rowOff>
              </to>
            </anchor>
          </controlPr>
        </control>
      </mc:Choice>
      <mc:Fallback>
        <control shapeId="1026" r:id="rId75" name="Image2"/>
      </mc:Fallback>
    </mc:AlternateContent>
    <mc:AlternateContent xmlns:mc="http://schemas.openxmlformats.org/markup-compatibility/2006">
      <mc:Choice Requires="x14">
        <control shapeId="1025" r:id="rId77" name="Image1">
          <controlPr defaultSize="0" autoLine="0" r:id="rId78">
            <anchor>
              <from>
                <xdr:col>0</xdr:col>
                <xdr:colOff>200025</xdr:colOff>
                <xdr:row>0</xdr:row>
                <xdr:rowOff>38100</xdr:rowOff>
              </from>
              <to>
                <xdr:col>2</xdr:col>
                <xdr:colOff>904875</xdr:colOff>
                <xdr:row>1</xdr:row>
                <xdr:rowOff>200025</xdr:rowOff>
              </to>
            </anchor>
          </controlPr>
        </control>
      </mc:Choice>
      <mc:Fallback>
        <control shapeId="1025" r:id="rId77" name="Image1"/>
      </mc:Fallback>
    </mc:AlternateContent>
    <mc:AlternateContent xmlns:mc="http://schemas.openxmlformats.org/markup-compatibility/2006">
      <mc:Choice Requires="x14">
        <control shapeId="1027" r:id="rId79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0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619125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8</xdr:col>
                <xdr:colOff>95250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83" name="chkDispExcelDestination">
          <controlPr defaultSize="0" autoFill="0" autoLine="0" autoPict="0" macro="[0]!chkDispExcelDestination_Click">
            <anchor>
              <from>
                <xdr:col>8</xdr:col>
                <xdr:colOff>209550</xdr:colOff>
                <xdr:row>0</xdr:row>
                <xdr:rowOff>161925</xdr:rowOff>
              </from>
              <to>
                <xdr:col>10</xdr:col>
                <xdr:colOff>1666875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4" name="chkR1C1Ref">
          <controlPr defaultSize="0" autoFill="0" autoLine="0" autoPict="0">
            <anchor>
              <from>
                <xdr:col>8</xdr:col>
                <xdr:colOff>209550</xdr:colOff>
                <xdr:row>0</xdr:row>
                <xdr:rowOff>0</xdr:rowOff>
              </from>
              <to>
                <xdr:col>10</xdr:col>
                <xdr:colOff>1619250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5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86" name="ChkSuppress">
          <controlPr defaultSize="0" autoFill="0" autoLine="0" autoPict="0">
            <anchor>
              <from>
                <xdr:col>8</xdr:col>
                <xdr:colOff>209550</xdr:colOff>
                <xdr:row>1</xdr:row>
                <xdr:rowOff>85725</xdr:rowOff>
              </from>
              <to>
                <xdr:col>10</xdr:col>
                <xdr:colOff>638175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8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8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9" name="chkNAWrite">
          <controlPr defaultSize="0" autoFill="0" autoLine="0" autoPict="0" macro="[0]!chkNAWrite_Click">
            <anchor>
              <from>
                <xdr:col>8</xdr:col>
                <xdr:colOff>209550</xdr:colOff>
                <xdr:row>1</xdr:row>
                <xdr:rowOff>285750</xdr:rowOff>
              </from>
              <to>
                <xdr:col>8</xdr:col>
                <xdr:colOff>514350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90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9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219075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92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0E744-1C95-4B5F-AF61-F5400D893F1C}">
  <dimension ref="A1:CK5008"/>
  <sheetViews>
    <sheetView tabSelected="1" topLeftCell="A539" workbookViewId="0">
      <selection activeCell="A554" sqref="A554"/>
    </sheetView>
  </sheetViews>
  <sheetFormatPr baseColWidth="10" defaultColWidth="11.40625" defaultRowHeight="13" x14ac:dyDescent="0.6"/>
  <cols>
    <col min="1" max="1" width="11.453125" style="40" bestFit="1" customWidth="1"/>
    <col min="2" max="16384" width="11.40625" style="40"/>
  </cols>
  <sheetData>
    <row r="1" spans="1:89" x14ac:dyDescent="0.6">
      <c r="A1" s="40" t="e">
        <f ca="1">_xll.DSGRID("usbd10Y","ry","01/01/1980","-0D","M","RowHeader=true;ColHeader=true;DispSeriesDescription=false;YearlyTSFormat=false;QuarterlyTSFormat=false;Clearself=y","")</f>
        <v>#NAME?</v>
      </c>
      <c r="B1" s="67" t="s">
        <v>53</v>
      </c>
      <c r="C1" s="40" t="e">
        <f ca="1">_xll.DSGRID("ecusd3M","ir","01/01/1980","-0D","M","ColHeader=true;DispSeriesDescription=false;YearlyTSFormat=false;QuarterlyTSFormat=false;Clearself=y","")</f>
        <v>#NAME?</v>
      </c>
      <c r="D1" s="40" t="e">
        <f ca="1">_xll.DSGRID("totmkus","pi","01/01/1980","-0D","M","ColHeader=true;DispSeriesDescription=false;YearlyTSFormat=false;QuarterlyTSFormat=false;Clearself=y","")</f>
        <v>#NAME?</v>
      </c>
      <c r="E1" s="40" t="e">
        <f ca="1">_xll.DSGRID("totmkus","ri","01/01/1980","-0D","M","ColHeader=true;DispSeriesDescription=false;YearlyTSFormat=false;QuarterlyTSFormat=false;Clearself=y","")</f>
        <v>#NAME?</v>
      </c>
      <c r="F1" s="40" t="e">
        <f ca="1">_xll.DSGRID("totmkus","pe","01/01/1980","-0D","M","ColHeader=true;DispSeriesDescription=false;YearlyTSFormat=false;QuarterlyTSFormat=false;Clearself=y","")</f>
        <v>#NAME?</v>
      </c>
      <c r="G1" s="40" t="e">
        <f ca="1">_xll.DSGRID("totmkus","mv","01/01/1980","-0D","M","ColHeader=true;DispSeriesDescription=false;YearlyTSFormat=false;QuarterlyTSFormat=false;Clearself=y","")</f>
        <v>#NAME?</v>
      </c>
      <c r="H1" s="40" t="e">
        <f ca="1">_xll.DSGRID("frbryld","ry","01/01/1980","-0D","M","ColHeader=true;DispSeriesDescription=false;YearlyTSFormat=false;QuarterlyTSFormat=false;Clearself=y","")</f>
        <v>#NAME?</v>
      </c>
      <c r="I1" s="40" t="e">
        <f ca="1">_xll.DSGRID("ecffr3M","ir","01/01/1980","-0D","M","ColHeader=true;DispSeriesDescription=false;YearlyTSFormat=false;QuarterlyTSFormat=false;Clearself=y","")</f>
        <v>#NAME?</v>
      </c>
      <c r="J1" s="40" t="e">
        <f ca="1">_xll.DSGRID("totmkfr","pi","01/01/1980","-0D","M","ColHeader=true;DispSeriesDescription=false;YearlyTSFormat=false;QuarterlyTSFormat=false;Clearself=y","")</f>
        <v>#NAME?</v>
      </c>
      <c r="K1" s="40" t="e">
        <f ca="1">_xll.DSGRID("totmkfr","ri","01/01/1980","-0D","M","ColHeader=true;DispSeriesDescription=false;YearlyTSFormat=false;QuarterlyTSFormat=false;Clearself=y","")</f>
        <v>#NAME?</v>
      </c>
      <c r="L1" s="40" t="e">
        <f ca="1">_xll.DSGRID("totmkfr","pe","01/01/1980","-0D","M","ColHeader=true;DispSeriesDescription=false;YearlyTSFormat=false;QuarterlyTSFormat=false;Clearself=y","")</f>
        <v>#NAME?</v>
      </c>
      <c r="M1" s="40" t="e">
        <f ca="1">_xll.DSGRID("totmkfr","mv","01/01/1980","-0D","M","ColHeader=true;DispSeriesDescription=false;YearlyTSFormat=false;QuarterlyTSFormat=false;Clearself=y","")</f>
        <v>#NAME?</v>
      </c>
    </row>
    <row r="2" spans="1:89" x14ac:dyDescent="0.6">
      <c r="A2" s="41">
        <v>29221</v>
      </c>
      <c r="C2" s="40">
        <v>14.5625</v>
      </c>
      <c r="D2" s="40">
        <v>82.17</v>
      </c>
      <c r="E2" s="40">
        <v>109.86</v>
      </c>
      <c r="F2" s="40">
        <v>7.5</v>
      </c>
      <c r="G2" s="40">
        <v>603731</v>
      </c>
      <c r="I2" s="40">
        <v>14.25</v>
      </c>
      <c r="J2" s="40">
        <v>153.49</v>
      </c>
      <c r="K2" s="40">
        <v>212.34</v>
      </c>
      <c r="L2" s="40">
        <v>7.4</v>
      </c>
      <c r="M2" s="40">
        <v>14962</v>
      </c>
    </row>
    <row r="3" spans="1:89" x14ac:dyDescent="0.6">
      <c r="A3" s="41">
        <v>29252</v>
      </c>
      <c r="C3" s="40">
        <v>14.25</v>
      </c>
      <c r="D3" s="40">
        <v>86.44</v>
      </c>
      <c r="E3" s="40">
        <v>116.13</v>
      </c>
      <c r="F3" s="40">
        <v>7.9</v>
      </c>
      <c r="G3" s="40">
        <v>635396</v>
      </c>
      <c r="I3" s="40">
        <v>12.8125</v>
      </c>
      <c r="J3" s="40">
        <v>168.53</v>
      </c>
      <c r="K3" s="40">
        <v>234.08</v>
      </c>
      <c r="L3" s="40">
        <v>8.1999999999999993</v>
      </c>
      <c r="M3" s="40">
        <v>16534</v>
      </c>
    </row>
    <row r="4" spans="1:89" x14ac:dyDescent="0.6">
      <c r="A4" s="41">
        <v>29281</v>
      </c>
      <c r="C4" s="40">
        <v>17.125</v>
      </c>
      <c r="D4" s="40">
        <v>83.17</v>
      </c>
      <c r="E4" s="40">
        <v>112.24</v>
      </c>
      <c r="F4" s="40">
        <v>7.6</v>
      </c>
      <c r="G4" s="40">
        <v>612505</v>
      </c>
      <c r="I4" s="40">
        <v>14.25</v>
      </c>
      <c r="J4" s="40">
        <v>172.3</v>
      </c>
      <c r="K4" s="40">
        <v>240.13</v>
      </c>
      <c r="L4" s="40">
        <v>8.4</v>
      </c>
      <c r="M4" s="40">
        <v>16905</v>
      </c>
    </row>
    <row r="5" spans="1:89" x14ac:dyDescent="0.6">
      <c r="A5" s="41">
        <v>29312</v>
      </c>
      <c r="C5" s="40">
        <v>20.25</v>
      </c>
      <c r="D5" s="40">
        <v>76.959999999999994</v>
      </c>
      <c r="E5" s="40">
        <v>104.37</v>
      </c>
      <c r="F5" s="40">
        <v>6.9</v>
      </c>
      <c r="G5" s="40">
        <v>567565</v>
      </c>
      <c r="I5" s="40">
        <v>14.25</v>
      </c>
      <c r="J5" s="40">
        <v>153.35</v>
      </c>
      <c r="K5" s="40">
        <v>214.54</v>
      </c>
      <c r="L5" s="40">
        <v>7.1</v>
      </c>
      <c r="M5" s="40">
        <v>15048</v>
      </c>
    </row>
    <row r="6" spans="1:89" x14ac:dyDescent="0.6">
      <c r="A6" s="41">
        <v>29342</v>
      </c>
      <c r="C6" s="40">
        <v>13.875</v>
      </c>
      <c r="D6" s="40">
        <v>79.92</v>
      </c>
      <c r="E6" s="40">
        <v>108.96</v>
      </c>
      <c r="F6" s="40">
        <v>7.1</v>
      </c>
      <c r="G6" s="40">
        <v>590373</v>
      </c>
      <c r="I6" s="40">
        <v>13</v>
      </c>
      <c r="J6" s="40">
        <v>158.38999999999999</v>
      </c>
      <c r="K6" s="40">
        <v>222.55</v>
      </c>
      <c r="L6" s="40">
        <v>6.5</v>
      </c>
      <c r="M6" s="40">
        <v>15551</v>
      </c>
    </row>
    <row r="7" spans="1:89" x14ac:dyDescent="0.6">
      <c r="A7" s="41">
        <v>29373</v>
      </c>
      <c r="C7" s="40">
        <v>10.3125</v>
      </c>
      <c r="D7" s="40">
        <v>83.76</v>
      </c>
      <c r="E7" s="40">
        <v>114.75</v>
      </c>
      <c r="F7" s="40">
        <v>7.5</v>
      </c>
      <c r="G7" s="40">
        <v>621492</v>
      </c>
      <c r="I7" s="40">
        <v>12.75</v>
      </c>
      <c r="J7" s="40">
        <v>166.66</v>
      </c>
      <c r="K7" s="40">
        <v>235.19</v>
      </c>
      <c r="L7" s="40">
        <v>6.9</v>
      </c>
      <c r="M7" s="40">
        <v>16418</v>
      </c>
    </row>
    <row r="8" spans="1:89" x14ac:dyDescent="0.6">
      <c r="A8" s="41">
        <v>29403</v>
      </c>
      <c r="C8" s="40">
        <v>9.875</v>
      </c>
      <c r="D8" s="40">
        <v>86.13</v>
      </c>
      <c r="E8" s="40">
        <v>118.53</v>
      </c>
      <c r="F8" s="40">
        <v>7.7</v>
      </c>
      <c r="G8" s="40">
        <v>639253</v>
      </c>
      <c r="I8" s="40">
        <v>12.5</v>
      </c>
      <c r="J8" s="40">
        <v>163.47999999999999</v>
      </c>
      <c r="K8" s="40">
        <v>231.66</v>
      </c>
      <c r="L8" s="40">
        <v>6.7</v>
      </c>
      <c r="M8" s="40">
        <v>16210</v>
      </c>
    </row>
    <row r="9" spans="1:89" x14ac:dyDescent="0.6">
      <c r="A9" s="41">
        <v>29434</v>
      </c>
      <c r="C9" s="40">
        <v>10.625</v>
      </c>
      <c r="D9" s="40">
        <v>91.16</v>
      </c>
      <c r="E9" s="40">
        <v>126.04</v>
      </c>
      <c r="F9" s="40">
        <v>8.1999999999999993</v>
      </c>
      <c r="G9" s="40">
        <v>677414</v>
      </c>
      <c r="I9" s="40">
        <v>11.9375</v>
      </c>
      <c r="J9" s="40">
        <v>159.38999999999999</v>
      </c>
      <c r="K9" s="40">
        <v>226.98</v>
      </c>
      <c r="L9" s="40">
        <v>7.1</v>
      </c>
      <c r="M9" s="40">
        <v>16270</v>
      </c>
    </row>
    <row r="10" spans="1:89" x14ac:dyDescent="0.6">
      <c r="A10" s="41">
        <v>29465</v>
      </c>
      <c r="C10" s="40">
        <v>12.0625</v>
      </c>
      <c r="D10" s="40">
        <v>91.38</v>
      </c>
      <c r="E10" s="40">
        <v>126.89</v>
      </c>
      <c r="F10" s="40">
        <v>8.1999999999999993</v>
      </c>
      <c r="G10" s="40">
        <v>679655</v>
      </c>
      <c r="I10" s="40">
        <v>12.125</v>
      </c>
      <c r="J10" s="40">
        <v>164.96</v>
      </c>
      <c r="K10" s="40">
        <v>236.07</v>
      </c>
      <c r="L10" s="40">
        <v>7.3</v>
      </c>
      <c r="M10" s="40">
        <v>16838</v>
      </c>
    </row>
    <row r="11" spans="1:89" x14ac:dyDescent="0.6">
      <c r="A11" s="41">
        <v>29495</v>
      </c>
      <c r="C11" s="40">
        <v>13.25</v>
      </c>
      <c r="D11" s="40">
        <v>93.13</v>
      </c>
      <c r="E11" s="40">
        <v>129.88999999999999</v>
      </c>
      <c r="F11" s="40">
        <v>8.3000000000000007</v>
      </c>
      <c r="G11" s="40">
        <v>694824</v>
      </c>
      <c r="I11" s="40">
        <v>12.625</v>
      </c>
      <c r="J11" s="40">
        <v>168.54</v>
      </c>
      <c r="K11" s="40">
        <v>242.42</v>
      </c>
      <c r="L11" s="40">
        <v>7.4</v>
      </c>
      <c r="M11" s="40">
        <v>17211</v>
      </c>
    </row>
    <row r="12" spans="1:89" x14ac:dyDescent="0.6">
      <c r="A12" s="41">
        <v>29526</v>
      </c>
      <c r="C12" s="40">
        <v>15.5625</v>
      </c>
      <c r="D12" s="40">
        <v>94.01</v>
      </c>
      <c r="E12" s="40">
        <v>131.71</v>
      </c>
      <c r="F12" s="40">
        <v>8.4</v>
      </c>
      <c r="G12" s="40">
        <v>702317</v>
      </c>
      <c r="I12" s="40">
        <v>11.3125</v>
      </c>
      <c r="J12" s="40">
        <v>189.78</v>
      </c>
      <c r="K12" s="40">
        <v>274.31</v>
      </c>
      <c r="L12" s="40">
        <v>8.4</v>
      </c>
      <c r="M12" s="40">
        <v>19622</v>
      </c>
    </row>
    <row r="13" spans="1:89" x14ac:dyDescent="0.6">
      <c r="A13" s="41">
        <v>29556</v>
      </c>
      <c r="C13" s="40">
        <v>18.6875</v>
      </c>
      <c r="D13" s="40">
        <v>97.57</v>
      </c>
      <c r="E13" s="40">
        <v>137.24</v>
      </c>
      <c r="F13" s="40">
        <v>8.6999999999999993</v>
      </c>
      <c r="G13" s="40">
        <v>730134</v>
      </c>
      <c r="I13" s="40">
        <v>11.813000000000001</v>
      </c>
      <c r="J13" s="40">
        <v>184.14</v>
      </c>
      <c r="K13" s="40">
        <v>267.24</v>
      </c>
      <c r="L13" s="40">
        <v>8.1999999999999993</v>
      </c>
      <c r="M13" s="40">
        <v>19136</v>
      </c>
    </row>
    <row r="14" spans="1:89" x14ac:dyDescent="0.6">
      <c r="A14" s="41">
        <v>29587</v>
      </c>
      <c r="C14" s="40">
        <v>17.8125</v>
      </c>
      <c r="D14" s="40">
        <v>97.74</v>
      </c>
      <c r="E14" s="40">
        <v>138.11000000000001</v>
      </c>
      <c r="F14" s="40">
        <v>8.6</v>
      </c>
      <c r="G14" s="40">
        <v>736388</v>
      </c>
      <c r="I14" s="40">
        <v>11.3125</v>
      </c>
      <c r="J14" s="40">
        <v>172</v>
      </c>
      <c r="K14" s="40">
        <v>250.88</v>
      </c>
      <c r="L14" s="40">
        <v>8</v>
      </c>
      <c r="M14" s="40">
        <v>18122</v>
      </c>
    </row>
    <row r="15" spans="1:89" x14ac:dyDescent="0.6">
      <c r="A15" s="41">
        <v>29618</v>
      </c>
      <c r="C15" s="40">
        <v>16.875</v>
      </c>
      <c r="D15" s="40">
        <v>92.76</v>
      </c>
      <c r="E15" s="40">
        <v>131.63999999999999</v>
      </c>
      <c r="F15" s="40">
        <v>8.1</v>
      </c>
      <c r="G15" s="40">
        <v>699645</v>
      </c>
      <c r="I15" s="40">
        <v>10.8438</v>
      </c>
      <c r="J15" s="40">
        <v>162.86000000000001</v>
      </c>
      <c r="K15" s="40">
        <v>238.74</v>
      </c>
      <c r="L15" s="40">
        <v>7.5</v>
      </c>
      <c r="M15" s="40">
        <v>17168</v>
      </c>
    </row>
    <row r="16" spans="1:89" x14ac:dyDescent="0.6">
      <c r="A16" s="41">
        <v>29646</v>
      </c>
      <c r="C16" s="40">
        <v>17</v>
      </c>
      <c r="D16" s="40">
        <v>96.77</v>
      </c>
      <c r="E16" s="40">
        <v>137.91</v>
      </c>
      <c r="F16" s="40">
        <v>8.5</v>
      </c>
      <c r="G16" s="40">
        <v>729938</v>
      </c>
      <c r="I16" s="40">
        <v>14.25</v>
      </c>
      <c r="J16" s="40">
        <v>168.98</v>
      </c>
      <c r="K16" s="40">
        <v>248.84</v>
      </c>
      <c r="L16" s="40">
        <v>7.8</v>
      </c>
      <c r="M16" s="40">
        <v>17821</v>
      </c>
    </row>
    <row r="17" spans="1:13" x14ac:dyDescent="0.6">
      <c r="A17" s="41">
        <v>29677</v>
      </c>
      <c r="C17" s="40">
        <v>14.25</v>
      </c>
      <c r="D17" s="40">
        <v>99.23</v>
      </c>
      <c r="E17" s="40">
        <v>142.05000000000001</v>
      </c>
      <c r="F17" s="40">
        <v>8.8000000000000007</v>
      </c>
      <c r="G17" s="40">
        <v>750177</v>
      </c>
      <c r="I17" s="40">
        <v>13.1875</v>
      </c>
      <c r="J17" s="40">
        <v>169.11</v>
      </c>
      <c r="K17" s="40">
        <v>250.24</v>
      </c>
      <c r="L17" s="40">
        <v>7.8</v>
      </c>
      <c r="M17" s="40">
        <v>17835</v>
      </c>
    </row>
    <row r="18" spans="1:13" x14ac:dyDescent="0.6">
      <c r="A18" s="41">
        <v>29707</v>
      </c>
      <c r="C18" s="40">
        <v>17.625</v>
      </c>
      <c r="D18" s="40">
        <v>97.87</v>
      </c>
      <c r="E18" s="40">
        <v>140.72</v>
      </c>
      <c r="F18" s="40">
        <v>8.6999999999999993</v>
      </c>
      <c r="G18" s="40">
        <v>741688</v>
      </c>
      <c r="I18" s="40">
        <v>14.75</v>
      </c>
      <c r="J18" s="40">
        <v>159.77000000000001</v>
      </c>
      <c r="K18" s="40">
        <v>237.61</v>
      </c>
      <c r="L18" s="40">
        <v>7.3</v>
      </c>
      <c r="M18" s="40">
        <v>16854</v>
      </c>
    </row>
    <row r="19" spans="1:13" x14ac:dyDescent="0.6">
      <c r="A19" s="41">
        <v>29738</v>
      </c>
      <c r="C19" s="40">
        <v>17.625</v>
      </c>
      <c r="D19" s="40">
        <v>98.28</v>
      </c>
      <c r="E19" s="40">
        <v>141.91</v>
      </c>
      <c r="F19" s="40">
        <v>8.6999999999999993</v>
      </c>
      <c r="G19" s="40">
        <v>747391</v>
      </c>
      <c r="I19" s="40">
        <v>21.25</v>
      </c>
      <c r="J19" s="40">
        <v>125.02</v>
      </c>
      <c r="K19" s="40">
        <v>186.97</v>
      </c>
      <c r="L19" s="40">
        <v>6</v>
      </c>
      <c r="M19" s="40">
        <v>13188</v>
      </c>
    </row>
    <row r="20" spans="1:13" x14ac:dyDescent="0.6">
      <c r="A20" s="41">
        <v>29768</v>
      </c>
      <c r="C20" s="40">
        <v>17.8125</v>
      </c>
      <c r="D20" s="40">
        <v>96.09</v>
      </c>
      <c r="E20" s="40">
        <v>139.38</v>
      </c>
      <c r="F20" s="40">
        <v>8.3000000000000007</v>
      </c>
      <c r="G20" s="40">
        <v>733925</v>
      </c>
      <c r="I20" s="40">
        <v>22.75</v>
      </c>
      <c r="J20" s="40">
        <v>119.63</v>
      </c>
      <c r="K20" s="40">
        <v>180.19</v>
      </c>
      <c r="L20" s="40">
        <v>5.7</v>
      </c>
      <c r="M20" s="40">
        <v>12633</v>
      </c>
    </row>
    <row r="21" spans="1:13" x14ac:dyDescent="0.6">
      <c r="A21" s="41">
        <v>29799</v>
      </c>
      <c r="C21" s="40">
        <v>18.875</v>
      </c>
      <c r="D21" s="40">
        <v>95.48</v>
      </c>
      <c r="E21" s="40">
        <v>139.16999999999999</v>
      </c>
      <c r="F21" s="40">
        <v>8.3000000000000007</v>
      </c>
      <c r="G21" s="40">
        <v>731517</v>
      </c>
      <c r="I21" s="40">
        <v>21.75</v>
      </c>
      <c r="J21" s="40">
        <v>141.47</v>
      </c>
      <c r="K21" s="40">
        <v>214.64</v>
      </c>
      <c r="L21" s="40">
        <v>7.6</v>
      </c>
      <c r="M21" s="40">
        <v>14941</v>
      </c>
    </row>
    <row r="22" spans="1:13" x14ac:dyDescent="0.6">
      <c r="A22" s="41">
        <v>29830</v>
      </c>
      <c r="C22" s="40">
        <v>18.875</v>
      </c>
      <c r="D22" s="40">
        <v>90.55</v>
      </c>
      <c r="E22" s="40">
        <v>132.58000000000001</v>
      </c>
      <c r="F22" s="40">
        <v>7.8</v>
      </c>
      <c r="G22" s="40">
        <v>697058</v>
      </c>
      <c r="I22" s="40">
        <v>28.75</v>
      </c>
      <c r="J22" s="40">
        <v>142.09</v>
      </c>
      <c r="K22" s="40">
        <v>216.83</v>
      </c>
      <c r="L22" s="40">
        <v>7.7</v>
      </c>
      <c r="M22" s="40">
        <v>15042</v>
      </c>
    </row>
    <row r="23" spans="1:13" x14ac:dyDescent="0.6">
      <c r="A23" s="41">
        <v>29860</v>
      </c>
      <c r="C23" s="40">
        <v>17.875</v>
      </c>
      <c r="D23" s="40">
        <v>87.25</v>
      </c>
      <c r="E23" s="40">
        <v>128.4</v>
      </c>
      <c r="F23" s="40">
        <v>7.6</v>
      </c>
      <c r="G23" s="40">
        <v>672627</v>
      </c>
      <c r="I23" s="40">
        <v>27</v>
      </c>
      <c r="J23" s="40">
        <v>134.08000000000001</v>
      </c>
      <c r="K23" s="40">
        <v>205.85</v>
      </c>
      <c r="L23" s="40">
        <v>7.3</v>
      </c>
      <c r="M23" s="40">
        <v>14613</v>
      </c>
    </row>
    <row r="24" spans="1:13" x14ac:dyDescent="0.6">
      <c r="A24" s="41">
        <v>29891</v>
      </c>
      <c r="C24" s="40">
        <v>15.25</v>
      </c>
      <c r="D24" s="40">
        <v>92.15</v>
      </c>
      <c r="E24" s="40">
        <v>136.30000000000001</v>
      </c>
      <c r="F24" s="40">
        <v>8</v>
      </c>
      <c r="G24" s="40">
        <v>715726</v>
      </c>
      <c r="I24" s="40">
        <v>17.4375</v>
      </c>
      <c r="J24" s="40">
        <v>130.83000000000001</v>
      </c>
      <c r="K24" s="40">
        <v>202.15</v>
      </c>
      <c r="L24" s="40">
        <v>7.1</v>
      </c>
      <c r="M24" s="40">
        <v>14308</v>
      </c>
    </row>
    <row r="25" spans="1:13" x14ac:dyDescent="0.6">
      <c r="A25" s="41">
        <v>29921</v>
      </c>
      <c r="C25" s="40">
        <v>12.375</v>
      </c>
      <c r="D25" s="40">
        <v>93.73</v>
      </c>
      <c r="E25" s="40">
        <v>139.28</v>
      </c>
      <c r="F25" s="40">
        <v>8.1</v>
      </c>
      <c r="G25" s="40">
        <v>728323</v>
      </c>
      <c r="I25" s="40">
        <v>16.875</v>
      </c>
      <c r="J25" s="40">
        <v>134.94999999999999</v>
      </c>
      <c r="K25" s="40">
        <v>209.84</v>
      </c>
      <c r="L25" s="40">
        <v>7.3</v>
      </c>
      <c r="M25" s="40">
        <v>14779</v>
      </c>
    </row>
    <row r="26" spans="1:13" x14ac:dyDescent="0.6">
      <c r="A26" s="41">
        <v>29952</v>
      </c>
      <c r="C26" s="40">
        <v>13.625</v>
      </c>
      <c r="D26" s="40">
        <v>91.63</v>
      </c>
      <c r="E26" s="40">
        <v>136.86000000000001</v>
      </c>
      <c r="F26" s="40">
        <v>8</v>
      </c>
      <c r="G26" s="40">
        <v>714427</v>
      </c>
      <c r="I26" s="40">
        <v>16.625</v>
      </c>
      <c r="J26" s="40">
        <v>133.41</v>
      </c>
      <c r="K26" s="40">
        <v>208.84</v>
      </c>
      <c r="L26" s="40">
        <v>7.3</v>
      </c>
      <c r="M26" s="40">
        <v>14691</v>
      </c>
    </row>
    <row r="27" spans="1:13" x14ac:dyDescent="0.6">
      <c r="A27" s="41">
        <v>29983</v>
      </c>
      <c r="C27" s="40">
        <v>15.5</v>
      </c>
      <c r="D27" s="40">
        <v>89.47</v>
      </c>
      <c r="E27" s="40">
        <v>134.29</v>
      </c>
      <c r="F27" s="40">
        <v>7.8</v>
      </c>
      <c r="G27" s="40">
        <v>697776</v>
      </c>
      <c r="I27" s="40">
        <v>15.6875</v>
      </c>
      <c r="J27" s="40">
        <v>140.69</v>
      </c>
      <c r="K27" s="40">
        <v>221.55</v>
      </c>
      <c r="L27" s="40">
        <v>7.8</v>
      </c>
      <c r="M27" s="40">
        <v>15560</v>
      </c>
    </row>
    <row r="28" spans="1:13" x14ac:dyDescent="0.6">
      <c r="A28" s="41">
        <v>30011</v>
      </c>
      <c r="C28" s="40">
        <v>14.875</v>
      </c>
      <c r="D28" s="40">
        <v>87.29</v>
      </c>
      <c r="E28" s="40">
        <v>131.63999999999999</v>
      </c>
      <c r="F28" s="40">
        <v>7.6</v>
      </c>
      <c r="G28" s="40">
        <v>681737</v>
      </c>
      <c r="I28" s="40">
        <v>15.75</v>
      </c>
      <c r="J28" s="40">
        <v>145.77000000000001</v>
      </c>
      <c r="K28" s="40">
        <v>230.79</v>
      </c>
      <c r="L28" s="40">
        <v>8</v>
      </c>
      <c r="M28" s="40">
        <v>16134</v>
      </c>
    </row>
    <row r="29" spans="1:13" x14ac:dyDescent="0.6">
      <c r="A29" s="41">
        <v>30042</v>
      </c>
      <c r="C29" s="40">
        <v>15.25</v>
      </c>
      <c r="D29" s="40">
        <v>87.72</v>
      </c>
      <c r="E29" s="40">
        <v>133.03</v>
      </c>
      <c r="F29" s="40">
        <v>7.8</v>
      </c>
      <c r="G29" s="40">
        <v>691578</v>
      </c>
      <c r="I29" s="40">
        <v>26</v>
      </c>
      <c r="J29" s="40">
        <v>133.78</v>
      </c>
      <c r="K29" s="40">
        <v>213.22</v>
      </c>
      <c r="L29" s="40">
        <v>7.3</v>
      </c>
      <c r="M29" s="40">
        <v>14813</v>
      </c>
    </row>
    <row r="30" spans="1:13" x14ac:dyDescent="0.6">
      <c r="A30" s="41">
        <v>30072</v>
      </c>
      <c r="C30" s="40">
        <v>14.875</v>
      </c>
      <c r="D30" s="40">
        <v>90.11</v>
      </c>
      <c r="E30" s="40">
        <v>137.37</v>
      </c>
      <c r="F30" s="40">
        <v>8</v>
      </c>
      <c r="G30" s="40">
        <v>711803</v>
      </c>
      <c r="I30" s="40">
        <v>22.75</v>
      </c>
      <c r="J30" s="40">
        <v>144.47</v>
      </c>
      <c r="K30" s="40">
        <v>231.68</v>
      </c>
      <c r="L30" s="40">
        <v>8</v>
      </c>
      <c r="M30" s="40">
        <v>16034</v>
      </c>
    </row>
    <row r="31" spans="1:13" x14ac:dyDescent="0.6">
      <c r="A31" s="41">
        <v>30103</v>
      </c>
      <c r="C31" s="40">
        <v>14.313000000000001</v>
      </c>
      <c r="D31" s="40">
        <v>86.41</v>
      </c>
      <c r="E31" s="40">
        <v>132.37</v>
      </c>
      <c r="F31" s="40">
        <v>7.7</v>
      </c>
      <c r="G31" s="40">
        <v>684980</v>
      </c>
      <c r="I31" s="40">
        <v>28.75</v>
      </c>
      <c r="J31" s="40">
        <v>142.91</v>
      </c>
      <c r="K31" s="40">
        <v>230.43</v>
      </c>
      <c r="L31" s="40">
        <v>8.4</v>
      </c>
      <c r="M31" s="40">
        <v>15896</v>
      </c>
    </row>
    <row r="32" spans="1:13" x14ac:dyDescent="0.6">
      <c r="A32" s="41">
        <v>30133</v>
      </c>
      <c r="C32" s="40">
        <v>15.813000000000001</v>
      </c>
      <c r="D32" s="40">
        <v>84.82</v>
      </c>
      <c r="E32" s="40">
        <v>130.63999999999999</v>
      </c>
      <c r="F32" s="40">
        <v>7.8</v>
      </c>
      <c r="G32" s="40">
        <v>674608</v>
      </c>
      <c r="I32" s="40">
        <v>16.625</v>
      </c>
      <c r="J32" s="40">
        <v>129.11000000000001</v>
      </c>
      <c r="K32" s="40">
        <v>209.44</v>
      </c>
      <c r="L32" s="40">
        <v>7.9</v>
      </c>
      <c r="M32" s="40">
        <v>14961</v>
      </c>
    </row>
    <row r="33" spans="1:13" x14ac:dyDescent="0.6">
      <c r="A33" s="41">
        <v>30164</v>
      </c>
      <c r="C33" s="40">
        <v>12.375</v>
      </c>
      <c r="D33" s="40">
        <v>85.69</v>
      </c>
      <c r="E33" s="40">
        <v>132.71</v>
      </c>
      <c r="F33" s="40">
        <v>7.8</v>
      </c>
      <c r="G33" s="40">
        <v>682789</v>
      </c>
      <c r="I33" s="40">
        <v>16.4375</v>
      </c>
      <c r="J33" s="40">
        <v>125.97</v>
      </c>
      <c r="K33" s="40">
        <v>205.66</v>
      </c>
      <c r="L33" s="40">
        <v>7.7</v>
      </c>
      <c r="M33" s="40">
        <v>14598</v>
      </c>
    </row>
    <row r="34" spans="1:13" x14ac:dyDescent="0.6">
      <c r="A34" s="41">
        <v>30195</v>
      </c>
      <c r="C34" s="40">
        <v>11.563000000000001</v>
      </c>
      <c r="D34" s="40">
        <v>93.06</v>
      </c>
      <c r="E34" s="40">
        <v>144.9</v>
      </c>
      <c r="F34" s="40">
        <v>8.5</v>
      </c>
      <c r="G34" s="40">
        <v>743058</v>
      </c>
      <c r="I34" s="40">
        <v>21</v>
      </c>
      <c r="J34" s="40">
        <v>130.85</v>
      </c>
      <c r="K34" s="40">
        <v>215.04</v>
      </c>
      <c r="L34" s="40">
        <v>8</v>
      </c>
      <c r="M34" s="40">
        <v>15164</v>
      </c>
    </row>
    <row r="35" spans="1:13" x14ac:dyDescent="0.6">
      <c r="A35" s="41">
        <v>30225</v>
      </c>
      <c r="C35" s="40">
        <v>11.375</v>
      </c>
      <c r="D35" s="40">
        <v>96.05</v>
      </c>
      <c r="E35" s="40">
        <v>150.27000000000001</v>
      </c>
      <c r="F35" s="40">
        <v>8.8000000000000007</v>
      </c>
      <c r="G35" s="40">
        <v>768975</v>
      </c>
      <c r="I35" s="40">
        <v>17.75</v>
      </c>
      <c r="J35" s="40">
        <v>125.78</v>
      </c>
      <c r="K35" s="40">
        <v>208.03</v>
      </c>
      <c r="L35" s="40">
        <v>7.8</v>
      </c>
      <c r="M35" s="40">
        <v>14576</v>
      </c>
    </row>
    <row r="36" spans="1:13" x14ac:dyDescent="0.6">
      <c r="A36" s="41">
        <v>30256</v>
      </c>
      <c r="C36" s="40">
        <v>9.875</v>
      </c>
      <c r="D36" s="40">
        <v>106.41</v>
      </c>
      <c r="E36" s="40">
        <v>167.19</v>
      </c>
      <c r="F36" s="40">
        <v>9.6999999999999993</v>
      </c>
      <c r="G36" s="40">
        <v>852836</v>
      </c>
      <c r="I36" s="40">
        <v>20</v>
      </c>
      <c r="J36" s="40">
        <v>128.01</v>
      </c>
      <c r="K36" s="40">
        <v>213.02</v>
      </c>
      <c r="L36" s="40">
        <v>8.1999999999999993</v>
      </c>
      <c r="M36" s="40">
        <v>14836</v>
      </c>
    </row>
    <row r="37" spans="1:13" x14ac:dyDescent="0.6">
      <c r="A37" s="41">
        <v>30286</v>
      </c>
      <c r="C37" s="40">
        <v>9.625</v>
      </c>
      <c r="D37" s="40">
        <v>109.8</v>
      </c>
      <c r="E37" s="40">
        <v>173.24</v>
      </c>
      <c r="F37" s="40">
        <v>10</v>
      </c>
      <c r="G37" s="40">
        <v>882957</v>
      </c>
      <c r="I37" s="40">
        <v>19.375</v>
      </c>
      <c r="J37" s="40">
        <v>129.9</v>
      </c>
      <c r="K37" s="40">
        <v>217.55</v>
      </c>
      <c r="L37" s="40">
        <v>8.3000000000000007</v>
      </c>
      <c r="M37" s="40">
        <v>15055</v>
      </c>
    </row>
    <row r="38" spans="1:13" x14ac:dyDescent="0.6">
      <c r="A38" s="41">
        <v>30317</v>
      </c>
      <c r="C38" s="40">
        <v>9.25</v>
      </c>
      <c r="D38" s="40">
        <v>109.49</v>
      </c>
      <c r="E38" s="40">
        <v>173.53</v>
      </c>
      <c r="F38" s="40">
        <v>10.1</v>
      </c>
      <c r="G38" s="40">
        <v>884201</v>
      </c>
      <c r="I38" s="40">
        <v>25</v>
      </c>
      <c r="J38" s="40">
        <v>122.63</v>
      </c>
      <c r="K38" s="40">
        <v>206.78</v>
      </c>
      <c r="L38" s="40">
        <v>8.4</v>
      </c>
      <c r="M38" s="40">
        <v>14475</v>
      </c>
    </row>
    <row r="39" spans="1:13" x14ac:dyDescent="0.6">
      <c r="A39" s="41">
        <v>30348</v>
      </c>
      <c r="B39" s="40">
        <v>10.788</v>
      </c>
      <c r="C39" s="40">
        <v>9.5</v>
      </c>
      <c r="D39" s="40">
        <v>112.72</v>
      </c>
      <c r="E39" s="40">
        <v>179.35</v>
      </c>
      <c r="F39" s="40">
        <v>10.4</v>
      </c>
      <c r="G39" s="40">
        <v>911424</v>
      </c>
      <c r="I39" s="40">
        <v>20.625</v>
      </c>
      <c r="J39" s="40">
        <v>134.25</v>
      </c>
      <c r="K39" s="40">
        <v>227.71</v>
      </c>
      <c r="L39" s="40">
        <v>9</v>
      </c>
      <c r="M39" s="40">
        <v>15937</v>
      </c>
    </row>
    <row r="40" spans="1:13" x14ac:dyDescent="0.6">
      <c r="A40" s="41">
        <v>30376</v>
      </c>
      <c r="B40" s="40">
        <v>10.194000000000001</v>
      </c>
      <c r="C40" s="40">
        <v>8.6880000000000006</v>
      </c>
      <c r="D40" s="40">
        <v>118.59</v>
      </c>
      <c r="E40" s="40">
        <v>189.38</v>
      </c>
      <c r="F40" s="40">
        <v>11</v>
      </c>
      <c r="G40" s="40">
        <v>961049</v>
      </c>
      <c r="I40" s="40">
        <v>24.5</v>
      </c>
      <c r="J40" s="40">
        <v>137.44</v>
      </c>
      <c r="K40" s="40">
        <v>234.41</v>
      </c>
      <c r="L40" s="40">
        <v>8.4</v>
      </c>
      <c r="M40" s="40">
        <v>16317</v>
      </c>
    </row>
    <row r="41" spans="1:13" x14ac:dyDescent="0.6">
      <c r="A41" s="41">
        <v>30407</v>
      </c>
      <c r="B41" s="40">
        <v>10.621</v>
      </c>
      <c r="C41" s="40">
        <v>9.5630000000000006</v>
      </c>
      <c r="D41" s="40">
        <v>119.97</v>
      </c>
      <c r="E41" s="40">
        <v>192.39</v>
      </c>
      <c r="F41" s="40">
        <v>11.1</v>
      </c>
      <c r="G41" s="40">
        <v>977369</v>
      </c>
      <c r="I41" s="40">
        <v>12.8125</v>
      </c>
      <c r="J41" s="40">
        <v>149.84</v>
      </c>
      <c r="K41" s="40">
        <v>257.07</v>
      </c>
      <c r="L41" s="40">
        <v>9.1</v>
      </c>
      <c r="M41" s="40">
        <v>17789</v>
      </c>
    </row>
    <row r="42" spans="1:13" x14ac:dyDescent="0.6">
      <c r="A42" s="41">
        <v>30437</v>
      </c>
      <c r="B42" s="40">
        <v>10.249000000000001</v>
      </c>
      <c r="C42" s="40">
        <v>8.875</v>
      </c>
      <c r="D42" s="40">
        <v>126.84</v>
      </c>
      <c r="E42" s="40">
        <v>204.15</v>
      </c>
      <c r="F42" s="40">
        <v>11.7</v>
      </c>
      <c r="G42" s="40">
        <v>1033890</v>
      </c>
      <c r="I42" s="40">
        <v>13.125</v>
      </c>
      <c r="J42" s="40">
        <v>160.66999999999999</v>
      </c>
      <c r="K42" s="40">
        <v>277.02</v>
      </c>
      <c r="L42" s="40">
        <v>9.6999999999999993</v>
      </c>
      <c r="M42" s="40">
        <v>19175</v>
      </c>
    </row>
    <row r="43" spans="1:13" x14ac:dyDescent="0.6">
      <c r="A43" s="41">
        <v>30468</v>
      </c>
      <c r="B43" s="40">
        <v>10.750999999999999</v>
      </c>
      <c r="C43" s="40">
        <v>9.5</v>
      </c>
      <c r="D43" s="40">
        <v>126.09</v>
      </c>
      <c r="E43" s="40">
        <v>203.72</v>
      </c>
      <c r="F43" s="40">
        <v>11.7</v>
      </c>
      <c r="G43" s="40">
        <v>1032115</v>
      </c>
      <c r="I43" s="40">
        <v>13.625</v>
      </c>
      <c r="J43" s="40">
        <v>164.97</v>
      </c>
      <c r="K43" s="40">
        <v>285.81</v>
      </c>
      <c r="L43" s="40">
        <v>10</v>
      </c>
      <c r="M43" s="40">
        <v>19689</v>
      </c>
    </row>
    <row r="44" spans="1:13" x14ac:dyDescent="0.6">
      <c r="A44" s="41">
        <v>30498</v>
      </c>
      <c r="B44" s="40">
        <v>11.071999999999999</v>
      </c>
      <c r="C44" s="40">
        <v>9.5630000000000006</v>
      </c>
      <c r="D44" s="40">
        <v>130</v>
      </c>
      <c r="E44" s="40">
        <v>210.82</v>
      </c>
      <c r="F44" s="40">
        <v>11.7</v>
      </c>
      <c r="G44" s="40">
        <v>1068187</v>
      </c>
      <c r="I44" s="40">
        <v>14.375</v>
      </c>
      <c r="J44" s="40">
        <v>166.62</v>
      </c>
      <c r="K44" s="40">
        <v>290.07</v>
      </c>
      <c r="L44" s="40">
        <v>10.1</v>
      </c>
      <c r="M44" s="40">
        <v>20088</v>
      </c>
    </row>
    <row r="45" spans="1:13" x14ac:dyDescent="0.6">
      <c r="A45" s="41">
        <v>30529</v>
      </c>
      <c r="B45" s="40">
        <v>11.786</v>
      </c>
      <c r="C45" s="40">
        <v>10.375</v>
      </c>
      <c r="D45" s="40">
        <v>125.38</v>
      </c>
      <c r="E45" s="40">
        <v>204.07</v>
      </c>
      <c r="F45" s="40">
        <v>11.3</v>
      </c>
      <c r="G45" s="40">
        <v>1032163</v>
      </c>
      <c r="I45" s="40">
        <v>14</v>
      </c>
      <c r="J45" s="40">
        <v>170.91</v>
      </c>
      <c r="K45" s="40">
        <v>298.88</v>
      </c>
      <c r="L45" s="40">
        <v>10.199999999999999</v>
      </c>
      <c r="M45" s="40">
        <v>20605</v>
      </c>
    </row>
    <row r="46" spans="1:13" x14ac:dyDescent="0.6">
      <c r="A46" s="41">
        <v>30560</v>
      </c>
      <c r="B46" s="40">
        <v>11.976000000000001</v>
      </c>
      <c r="C46" s="40">
        <v>10.25</v>
      </c>
      <c r="D46" s="40">
        <v>126.65</v>
      </c>
      <c r="E46" s="40">
        <v>206.97</v>
      </c>
      <c r="F46" s="40">
        <v>11.4</v>
      </c>
      <c r="G46" s="40">
        <v>1046163</v>
      </c>
      <c r="I46" s="40">
        <v>15.125</v>
      </c>
      <c r="J46" s="40">
        <v>180.29</v>
      </c>
      <c r="K46" s="40">
        <v>316.77999999999997</v>
      </c>
      <c r="L46" s="40">
        <v>10.7</v>
      </c>
      <c r="M46" s="40">
        <v>21748</v>
      </c>
    </row>
    <row r="47" spans="1:13" x14ac:dyDescent="0.6">
      <c r="A47" s="41">
        <v>30590</v>
      </c>
      <c r="B47" s="40">
        <v>11.451000000000001</v>
      </c>
      <c r="C47" s="40">
        <v>9.5</v>
      </c>
      <c r="D47" s="40">
        <v>129.07</v>
      </c>
      <c r="E47" s="40">
        <v>211.72</v>
      </c>
      <c r="F47" s="40">
        <v>11.3</v>
      </c>
      <c r="G47" s="40">
        <v>1070315</v>
      </c>
      <c r="I47" s="40">
        <v>14.5</v>
      </c>
      <c r="J47" s="40">
        <v>186.1</v>
      </c>
      <c r="K47" s="40">
        <v>328.46</v>
      </c>
      <c r="L47" s="40">
        <v>11</v>
      </c>
      <c r="M47" s="40">
        <v>22475</v>
      </c>
    </row>
    <row r="48" spans="1:13" x14ac:dyDescent="0.6">
      <c r="A48" s="41">
        <v>30621</v>
      </c>
      <c r="B48" s="40">
        <v>11.672000000000001</v>
      </c>
      <c r="C48" s="40">
        <v>9.75</v>
      </c>
      <c r="D48" s="40">
        <v>128.15</v>
      </c>
      <c r="E48" s="40">
        <v>210.97</v>
      </c>
      <c r="F48" s="40">
        <v>11.2</v>
      </c>
      <c r="G48" s="40">
        <v>1063110</v>
      </c>
      <c r="I48" s="40">
        <v>12.6875</v>
      </c>
      <c r="J48" s="40">
        <v>186.89</v>
      </c>
      <c r="K48" s="40">
        <v>331.23</v>
      </c>
      <c r="L48" s="40">
        <v>11</v>
      </c>
      <c r="M48" s="40">
        <v>22637</v>
      </c>
    </row>
    <row r="49" spans="1:13" x14ac:dyDescent="0.6">
      <c r="A49" s="41">
        <v>30651</v>
      </c>
      <c r="B49" s="40">
        <v>11.624000000000001</v>
      </c>
      <c r="C49" s="40">
        <v>9.6880000000000006</v>
      </c>
      <c r="D49" s="40">
        <v>129.91999999999999</v>
      </c>
      <c r="E49" s="40">
        <v>214.71</v>
      </c>
      <c r="F49" s="40">
        <v>11.2</v>
      </c>
      <c r="G49" s="40">
        <v>1113944</v>
      </c>
      <c r="I49" s="40">
        <v>13</v>
      </c>
      <c r="J49" s="40">
        <v>196.15</v>
      </c>
      <c r="K49" s="40">
        <v>349.13</v>
      </c>
      <c r="L49" s="40">
        <v>11.4</v>
      </c>
      <c r="M49" s="40">
        <v>23758</v>
      </c>
    </row>
    <row r="50" spans="1:13" x14ac:dyDescent="0.6">
      <c r="A50" s="41">
        <v>30682</v>
      </c>
      <c r="B50" s="40">
        <v>11.792999999999999</v>
      </c>
      <c r="C50" s="40">
        <v>9.8130000000000006</v>
      </c>
      <c r="D50" s="40">
        <v>128.22999999999999</v>
      </c>
      <c r="E50" s="40">
        <v>212.76</v>
      </c>
      <c r="F50" s="40">
        <v>10.6</v>
      </c>
      <c r="G50" s="40">
        <v>1103154</v>
      </c>
      <c r="I50" s="40">
        <v>13.375</v>
      </c>
      <c r="J50" s="40">
        <v>204.05</v>
      </c>
      <c r="K50" s="40">
        <v>364.72</v>
      </c>
      <c r="L50" s="40">
        <v>11</v>
      </c>
      <c r="M50" s="40">
        <v>25090</v>
      </c>
    </row>
    <row r="51" spans="1:13" x14ac:dyDescent="0.6">
      <c r="A51" s="41">
        <v>30713</v>
      </c>
      <c r="B51" s="40">
        <v>11.622999999999999</v>
      </c>
      <c r="C51" s="40">
        <v>9.75</v>
      </c>
      <c r="D51" s="40">
        <v>125.92</v>
      </c>
      <c r="E51" s="40">
        <v>209.76</v>
      </c>
      <c r="F51" s="40">
        <v>10.4</v>
      </c>
      <c r="G51" s="40">
        <v>1083692</v>
      </c>
      <c r="I51" s="40">
        <v>13.125</v>
      </c>
      <c r="J51" s="40">
        <v>224.26</v>
      </c>
      <c r="K51" s="40">
        <v>402.35</v>
      </c>
      <c r="L51" s="40">
        <v>11.9</v>
      </c>
      <c r="M51" s="40">
        <v>27601</v>
      </c>
    </row>
    <row r="52" spans="1:13" x14ac:dyDescent="0.6">
      <c r="A52" s="41">
        <v>30742</v>
      </c>
      <c r="B52" s="40">
        <v>12.009</v>
      </c>
      <c r="C52" s="40">
        <v>10.063000000000001</v>
      </c>
      <c r="D52" s="40">
        <v>121.43</v>
      </c>
      <c r="E52" s="40">
        <v>203.1</v>
      </c>
      <c r="F52" s="40">
        <v>10</v>
      </c>
      <c r="G52" s="40">
        <v>1000334</v>
      </c>
      <c r="I52" s="40">
        <v>16.5</v>
      </c>
      <c r="J52" s="40">
        <v>214.88</v>
      </c>
      <c r="K52" s="40">
        <v>386.94</v>
      </c>
      <c r="L52" s="40">
        <v>10.4</v>
      </c>
      <c r="M52" s="40">
        <v>26447</v>
      </c>
    </row>
    <row r="53" spans="1:13" x14ac:dyDescent="0.6">
      <c r="A53" s="41">
        <v>30773</v>
      </c>
      <c r="B53" s="40">
        <v>12.558</v>
      </c>
      <c r="C53" s="40">
        <v>10.563000000000001</v>
      </c>
      <c r="D53" s="40">
        <v>121.03</v>
      </c>
      <c r="E53" s="40">
        <v>203.28</v>
      </c>
      <c r="F53" s="40">
        <v>9.5</v>
      </c>
      <c r="G53" s="40">
        <v>996575</v>
      </c>
      <c r="I53" s="40">
        <v>14.5</v>
      </c>
      <c r="J53" s="40">
        <v>216.4</v>
      </c>
      <c r="K53" s="40">
        <v>391.19</v>
      </c>
      <c r="L53" s="40">
        <v>10.6</v>
      </c>
      <c r="M53" s="40">
        <v>26635</v>
      </c>
    </row>
    <row r="54" spans="1:13" x14ac:dyDescent="0.6">
      <c r="A54" s="41">
        <v>30803</v>
      </c>
      <c r="B54" s="40">
        <v>12.833</v>
      </c>
      <c r="C54" s="40">
        <v>11</v>
      </c>
      <c r="D54" s="40">
        <v>124.11</v>
      </c>
      <c r="E54" s="40">
        <v>209.3</v>
      </c>
      <c r="F54" s="40">
        <v>9.6999999999999993</v>
      </c>
      <c r="G54" s="40">
        <v>1023005</v>
      </c>
      <c r="I54" s="40">
        <v>12.625</v>
      </c>
      <c r="J54" s="40">
        <v>237.18</v>
      </c>
      <c r="K54" s="40">
        <v>430.24</v>
      </c>
      <c r="L54" s="40">
        <v>11.4</v>
      </c>
      <c r="M54" s="40">
        <v>29319</v>
      </c>
    </row>
    <row r="55" spans="1:13" x14ac:dyDescent="0.6">
      <c r="A55" s="41">
        <v>30834</v>
      </c>
      <c r="B55" s="40">
        <v>13.616</v>
      </c>
      <c r="C55" s="40">
        <v>11.688000000000001</v>
      </c>
      <c r="D55" s="40">
        <v>118.03</v>
      </c>
      <c r="E55" s="40">
        <v>199.94</v>
      </c>
      <c r="F55" s="40">
        <v>9.1</v>
      </c>
      <c r="G55" s="40">
        <v>974996</v>
      </c>
      <c r="I55" s="40">
        <v>13.5</v>
      </c>
      <c r="J55" s="40">
        <v>232.4</v>
      </c>
      <c r="K55" s="40">
        <v>423.13</v>
      </c>
      <c r="L55" s="40">
        <v>10.9</v>
      </c>
      <c r="M55" s="40">
        <v>28609</v>
      </c>
    </row>
    <row r="56" spans="1:13" x14ac:dyDescent="0.6">
      <c r="A56" s="41">
        <v>30864</v>
      </c>
      <c r="B56" s="40">
        <v>13.85</v>
      </c>
      <c r="C56" s="40">
        <v>12.25</v>
      </c>
      <c r="D56" s="40">
        <v>118.71</v>
      </c>
      <c r="E56" s="40">
        <v>201.95</v>
      </c>
      <c r="F56" s="40">
        <v>8.8000000000000007</v>
      </c>
      <c r="G56" s="40">
        <v>980139</v>
      </c>
      <c r="I56" s="40">
        <v>12.4375</v>
      </c>
      <c r="J56" s="40">
        <v>228.72</v>
      </c>
      <c r="K56" s="40">
        <v>417.99</v>
      </c>
      <c r="L56" s="40">
        <v>10.6</v>
      </c>
      <c r="M56" s="40">
        <v>28480</v>
      </c>
    </row>
    <row r="57" spans="1:13" x14ac:dyDescent="0.6">
      <c r="A57" s="41">
        <v>30895</v>
      </c>
      <c r="B57" s="40">
        <v>12.72</v>
      </c>
      <c r="C57" s="40">
        <v>11.8126</v>
      </c>
      <c r="D57" s="40">
        <v>120.09</v>
      </c>
      <c r="E57" s="40">
        <v>205.19</v>
      </c>
      <c r="F57" s="40">
        <v>8.9</v>
      </c>
      <c r="G57" s="40">
        <v>991199</v>
      </c>
      <c r="I57" s="40">
        <v>11.875</v>
      </c>
      <c r="J57" s="40">
        <v>210.08</v>
      </c>
      <c r="K57" s="40">
        <v>385.51</v>
      </c>
      <c r="L57" s="40">
        <v>9.6999999999999993</v>
      </c>
      <c r="M57" s="40">
        <v>26160</v>
      </c>
    </row>
    <row r="58" spans="1:13" x14ac:dyDescent="0.6">
      <c r="A58" s="41">
        <v>30926</v>
      </c>
      <c r="B58" s="40">
        <v>12.8</v>
      </c>
      <c r="C58" s="40">
        <v>11.9375</v>
      </c>
      <c r="D58" s="40">
        <v>129.54</v>
      </c>
      <c r="E58" s="40">
        <v>222.29</v>
      </c>
      <c r="F58" s="40">
        <v>9.6</v>
      </c>
      <c r="G58" s="40">
        <v>1068767</v>
      </c>
      <c r="I58" s="40">
        <v>11.281000000000001</v>
      </c>
      <c r="J58" s="40">
        <v>232.52</v>
      </c>
      <c r="K58" s="40">
        <v>428.49</v>
      </c>
      <c r="L58" s="40">
        <v>10.1</v>
      </c>
      <c r="M58" s="40">
        <v>28955</v>
      </c>
    </row>
    <row r="59" spans="1:13" x14ac:dyDescent="0.6">
      <c r="A59" s="41">
        <v>30956</v>
      </c>
      <c r="B59" s="40">
        <v>12.52</v>
      </c>
      <c r="C59" s="40">
        <v>11.5</v>
      </c>
      <c r="D59" s="40">
        <v>128.24</v>
      </c>
      <c r="E59" s="40">
        <v>220.87</v>
      </c>
      <c r="F59" s="40">
        <v>9.4</v>
      </c>
      <c r="G59" s="40">
        <v>1057861</v>
      </c>
      <c r="I59" s="40">
        <v>11.625</v>
      </c>
      <c r="J59" s="40">
        <v>240.35</v>
      </c>
      <c r="K59" s="40">
        <v>444.48</v>
      </c>
      <c r="L59" s="40">
        <v>10.4</v>
      </c>
      <c r="M59" s="40">
        <v>30079</v>
      </c>
    </row>
    <row r="60" spans="1:13" x14ac:dyDescent="0.6">
      <c r="A60" s="41">
        <v>30987</v>
      </c>
      <c r="B60" s="40">
        <v>11.64</v>
      </c>
      <c r="C60" s="40">
        <v>10</v>
      </c>
      <c r="D60" s="40">
        <v>131.25</v>
      </c>
      <c r="E60" s="40">
        <v>227.02</v>
      </c>
      <c r="F60" s="40">
        <v>9.6</v>
      </c>
      <c r="G60" s="40">
        <v>1084887</v>
      </c>
      <c r="I60" s="40">
        <v>10.9375</v>
      </c>
      <c r="J60" s="40">
        <v>241.16</v>
      </c>
      <c r="K60" s="40">
        <v>447.74</v>
      </c>
      <c r="L60" s="40">
        <v>10.4</v>
      </c>
      <c r="M60" s="40">
        <v>30181</v>
      </c>
    </row>
    <row r="61" spans="1:13" x14ac:dyDescent="0.6">
      <c r="A61" s="41">
        <v>31017</v>
      </c>
      <c r="B61" s="40">
        <v>11.48</v>
      </c>
      <c r="C61" s="40">
        <v>9.3125</v>
      </c>
      <c r="D61" s="40">
        <v>128.02000000000001</v>
      </c>
      <c r="E61" s="40">
        <v>222.33</v>
      </c>
      <c r="F61" s="40">
        <v>9.4</v>
      </c>
      <c r="G61" s="40">
        <v>1059773</v>
      </c>
      <c r="I61" s="40">
        <v>10.875</v>
      </c>
      <c r="J61" s="40">
        <v>240.02</v>
      </c>
      <c r="K61" s="40">
        <v>447.31</v>
      </c>
      <c r="L61" s="40">
        <v>10.4</v>
      </c>
      <c r="M61" s="40">
        <v>30073</v>
      </c>
    </row>
    <row r="62" spans="1:13" x14ac:dyDescent="0.6">
      <c r="A62" s="41">
        <v>31048</v>
      </c>
      <c r="B62" s="40">
        <v>11.64</v>
      </c>
      <c r="C62" s="40">
        <v>8.6875</v>
      </c>
      <c r="D62" s="40">
        <v>131.27000000000001</v>
      </c>
      <c r="E62" s="40">
        <v>228.88</v>
      </c>
      <c r="F62" s="40">
        <v>9.6</v>
      </c>
      <c r="G62" s="40">
        <v>1087284</v>
      </c>
      <c r="I62" s="40">
        <v>10.75</v>
      </c>
      <c r="J62" s="40">
        <v>240.64</v>
      </c>
      <c r="K62" s="40">
        <v>450.1</v>
      </c>
      <c r="L62" s="40">
        <v>10.5</v>
      </c>
      <c r="M62" s="40">
        <v>30469</v>
      </c>
    </row>
    <row r="63" spans="1:13" x14ac:dyDescent="0.6">
      <c r="A63" s="41">
        <v>31079</v>
      </c>
      <c r="B63" s="40">
        <v>11.26</v>
      </c>
      <c r="C63" s="40">
        <v>8.4380000000000006</v>
      </c>
      <c r="D63" s="40">
        <v>139.19999999999999</v>
      </c>
      <c r="E63" s="40">
        <v>243.71</v>
      </c>
      <c r="F63" s="40">
        <v>10.199999999999999</v>
      </c>
      <c r="G63" s="40">
        <v>1154645</v>
      </c>
      <c r="I63" s="40">
        <v>10.875</v>
      </c>
      <c r="J63" s="40">
        <v>255.23</v>
      </c>
      <c r="K63" s="40">
        <v>479.24</v>
      </c>
      <c r="L63" s="40">
        <v>10.7</v>
      </c>
      <c r="M63" s="40">
        <v>32317</v>
      </c>
    </row>
    <row r="64" spans="1:13" x14ac:dyDescent="0.6">
      <c r="A64" s="41">
        <v>31107</v>
      </c>
      <c r="B64" s="40">
        <v>11.86</v>
      </c>
      <c r="C64" s="40">
        <v>9.625</v>
      </c>
      <c r="D64" s="40">
        <v>143.33000000000001</v>
      </c>
      <c r="E64" s="40">
        <v>251.8</v>
      </c>
      <c r="F64" s="40">
        <v>10.6</v>
      </c>
      <c r="G64" s="40">
        <v>1189005</v>
      </c>
      <c r="I64" s="40">
        <v>11.25</v>
      </c>
      <c r="J64" s="40">
        <v>265.27999999999997</v>
      </c>
      <c r="K64" s="40">
        <v>499.71</v>
      </c>
      <c r="L64" s="40">
        <v>10.4</v>
      </c>
      <c r="M64" s="40">
        <v>33591</v>
      </c>
    </row>
    <row r="65" spans="1:13" x14ac:dyDescent="0.6">
      <c r="A65" s="41">
        <v>31138</v>
      </c>
      <c r="B65" s="40">
        <v>11.63</v>
      </c>
      <c r="C65" s="40">
        <v>8.9380000000000006</v>
      </c>
      <c r="D65" s="40">
        <v>141.88</v>
      </c>
      <c r="E65" s="40">
        <v>250.18</v>
      </c>
      <c r="F65" s="40">
        <v>10.7</v>
      </c>
      <c r="G65" s="40">
        <v>1176118</v>
      </c>
      <c r="I65" s="40">
        <v>10.9375</v>
      </c>
      <c r="J65" s="40">
        <v>272.58999999999997</v>
      </c>
      <c r="K65" s="40">
        <v>515.16999999999996</v>
      </c>
      <c r="L65" s="40">
        <v>10.9</v>
      </c>
      <c r="M65" s="40">
        <v>34517</v>
      </c>
    </row>
    <row r="66" spans="1:13" x14ac:dyDescent="0.6">
      <c r="A66" s="41">
        <v>31168</v>
      </c>
      <c r="B66" s="40">
        <v>11.26</v>
      </c>
      <c r="C66" s="40">
        <v>8.6875</v>
      </c>
      <c r="D66" s="40">
        <v>139.56</v>
      </c>
      <c r="E66" s="40">
        <v>247.04</v>
      </c>
      <c r="F66" s="40">
        <v>10.5</v>
      </c>
      <c r="G66" s="40">
        <v>1155719</v>
      </c>
      <c r="I66" s="40">
        <v>10.5</v>
      </c>
      <c r="J66" s="40">
        <v>280.66000000000003</v>
      </c>
      <c r="K66" s="40">
        <v>532.16999999999996</v>
      </c>
      <c r="L66" s="40">
        <v>11.8</v>
      </c>
      <c r="M66" s="40">
        <v>35540</v>
      </c>
    </row>
    <row r="67" spans="1:13" x14ac:dyDescent="0.6">
      <c r="A67" s="41">
        <v>31199</v>
      </c>
      <c r="B67" s="40">
        <v>10.01</v>
      </c>
      <c r="C67" s="40">
        <v>7.5625</v>
      </c>
      <c r="D67" s="40">
        <v>148.24</v>
      </c>
      <c r="E67" s="40">
        <v>263.44</v>
      </c>
      <c r="F67" s="40">
        <v>11.3</v>
      </c>
      <c r="G67" s="40">
        <v>1228150</v>
      </c>
      <c r="I67" s="40">
        <v>10.375</v>
      </c>
      <c r="J67" s="40">
        <v>299.04000000000002</v>
      </c>
      <c r="K67" s="40">
        <v>568.98</v>
      </c>
      <c r="L67" s="40">
        <v>12.6</v>
      </c>
      <c r="M67" s="40">
        <v>38076</v>
      </c>
    </row>
    <row r="68" spans="1:13" x14ac:dyDescent="0.6">
      <c r="A68" s="41">
        <v>31229</v>
      </c>
      <c r="B68" s="40">
        <v>10.14</v>
      </c>
      <c r="C68" s="40">
        <v>7.6875</v>
      </c>
      <c r="D68" s="40">
        <v>150.91999999999999</v>
      </c>
      <c r="E68" s="40">
        <v>269.12</v>
      </c>
      <c r="F68" s="40">
        <v>11.6</v>
      </c>
      <c r="G68" s="40">
        <v>1252396</v>
      </c>
      <c r="I68" s="40">
        <v>10.5625</v>
      </c>
      <c r="J68" s="40">
        <v>288.52999999999997</v>
      </c>
      <c r="K68" s="40">
        <v>550.59</v>
      </c>
      <c r="L68" s="40">
        <v>12</v>
      </c>
      <c r="M68" s="40">
        <v>37162</v>
      </c>
    </row>
    <row r="69" spans="1:13" x14ac:dyDescent="0.6">
      <c r="A69" s="41">
        <v>31260</v>
      </c>
      <c r="B69" s="40">
        <v>10.48</v>
      </c>
      <c r="C69" s="40">
        <v>8.1875</v>
      </c>
      <c r="D69" s="40">
        <v>150.16999999999999</v>
      </c>
      <c r="E69" s="40">
        <v>268.8</v>
      </c>
      <c r="F69" s="40">
        <v>11.5</v>
      </c>
      <c r="G69" s="40">
        <v>1246260</v>
      </c>
      <c r="I69" s="40">
        <v>14.25</v>
      </c>
      <c r="J69" s="40">
        <v>271.81</v>
      </c>
      <c r="K69" s="40">
        <v>520.5</v>
      </c>
      <c r="L69" s="40">
        <v>10.7</v>
      </c>
      <c r="M69" s="40">
        <v>35009</v>
      </c>
    </row>
    <row r="70" spans="1:13" x14ac:dyDescent="0.6">
      <c r="A70" s="41">
        <v>31291</v>
      </c>
      <c r="B70" s="40">
        <v>10.25</v>
      </c>
      <c r="C70" s="40">
        <v>8.1875</v>
      </c>
      <c r="D70" s="40">
        <v>147.53</v>
      </c>
      <c r="E70" s="40">
        <v>265.07</v>
      </c>
      <c r="F70" s="40">
        <v>11.3</v>
      </c>
      <c r="G70" s="40">
        <v>1224907</v>
      </c>
      <c r="I70" s="40">
        <v>10.6875</v>
      </c>
      <c r="J70" s="40">
        <v>281.62</v>
      </c>
      <c r="K70" s="40">
        <v>541.15</v>
      </c>
      <c r="L70" s="40">
        <v>11.3</v>
      </c>
      <c r="M70" s="40">
        <v>36502</v>
      </c>
    </row>
    <row r="71" spans="1:13" x14ac:dyDescent="0.6">
      <c r="A71" s="41">
        <v>31321</v>
      </c>
      <c r="B71" s="40">
        <v>10.29</v>
      </c>
      <c r="C71" s="40">
        <v>8.125</v>
      </c>
      <c r="D71" s="40">
        <v>144.30000000000001</v>
      </c>
      <c r="E71" s="40">
        <v>260.20999999999998</v>
      </c>
      <c r="F71" s="40">
        <v>11.2</v>
      </c>
      <c r="G71" s="40">
        <v>1202356</v>
      </c>
      <c r="I71" s="40">
        <v>10.5625</v>
      </c>
      <c r="J71" s="40">
        <v>263</v>
      </c>
      <c r="K71" s="40">
        <v>507.05</v>
      </c>
      <c r="L71" s="40">
        <v>10.5</v>
      </c>
      <c r="M71" s="40">
        <v>34208</v>
      </c>
    </row>
    <row r="72" spans="1:13" x14ac:dyDescent="0.6">
      <c r="A72" s="41">
        <v>31352</v>
      </c>
      <c r="B72" s="40">
        <v>9.94</v>
      </c>
      <c r="C72" s="40">
        <v>8.0625</v>
      </c>
      <c r="D72" s="40">
        <v>149.94</v>
      </c>
      <c r="E72" s="40">
        <v>271.45999999999998</v>
      </c>
      <c r="F72" s="40">
        <v>11.7</v>
      </c>
      <c r="G72" s="40">
        <v>1249116</v>
      </c>
      <c r="I72" s="40">
        <v>9.6875</v>
      </c>
      <c r="J72" s="40">
        <v>276.32</v>
      </c>
      <c r="K72" s="40">
        <v>534.79</v>
      </c>
      <c r="L72" s="40">
        <v>11.1</v>
      </c>
      <c r="M72" s="40">
        <v>36295</v>
      </c>
    </row>
    <row r="73" spans="1:13" x14ac:dyDescent="0.6">
      <c r="A73" s="41">
        <v>31382</v>
      </c>
      <c r="B73" s="40">
        <v>9.68</v>
      </c>
      <c r="C73" s="40">
        <v>8.0630000000000006</v>
      </c>
      <c r="D73" s="40">
        <v>157.46</v>
      </c>
      <c r="E73" s="40">
        <v>286.04000000000002</v>
      </c>
      <c r="F73" s="40">
        <v>12.3</v>
      </c>
      <c r="G73" s="40">
        <v>1315358</v>
      </c>
      <c r="I73" s="40">
        <v>10.125</v>
      </c>
      <c r="J73" s="40">
        <v>307.26</v>
      </c>
      <c r="K73" s="40">
        <v>596.54</v>
      </c>
      <c r="L73" s="40">
        <v>11.8</v>
      </c>
      <c r="M73" s="40">
        <v>40446</v>
      </c>
    </row>
    <row r="74" spans="1:13" x14ac:dyDescent="0.6">
      <c r="A74" s="41">
        <v>31413</v>
      </c>
      <c r="B74" s="40">
        <v>8.99</v>
      </c>
      <c r="C74" s="40">
        <v>7.9375</v>
      </c>
      <c r="D74" s="40">
        <v>165.99</v>
      </c>
      <c r="E74" s="40">
        <v>302.56</v>
      </c>
      <c r="F74" s="40">
        <v>13</v>
      </c>
      <c r="G74" s="40">
        <v>1400091</v>
      </c>
      <c r="I74" s="40">
        <v>13.25</v>
      </c>
      <c r="J74" s="40">
        <v>330.03</v>
      </c>
      <c r="K74" s="40">
        <v>642.74</v>
      </c>
      <c r="L74" s="40">
        <v>12.4</v>
      </c>
      <c r="M74" s="40">
        <v>43739</v>
      </c>
    </row>
    <row r="75" spans="1:13" x14ac:dyDescent="0.6">
      <c r="A75" s="41">
        <v>31444</v>
      </c>
      <c r="B75" s="40">
        <v>9.01</v>
      </c>
      <c r="C75" s="40">
        <v>7.9379999999999997</v>
      </c>
      <c r="D75" s="40">
        <v>169.12</v>
      </c>
      <c r="E75" s="40">
        <v>309.37</v>
      </c>
      <c r="F75" s="40">
        <v>13.3</v>
      </c>
      <c r="G75" s="40">
        <v>1427702</v>
      </c>
      <c r="H75" s="40">
        <v>9.7200000000000006</v>
      </c>
      <c r="I75" s="40">
        <v>16</v>
      </c>
      <c r="J75" s="40">
        <v>341.08</v>
      </c>
      <c r="K75" s="40">
        <v>666.27</v>
      </c>
      <c r="L75" s="40">
        <v>12.6</v>
      </c>
      <c r="M75" s="40">
        <v>45271</v>
      </c>
    </row>
    <row r="76" spans="1:13" x14ac:dyDescent="0.6">
      <c r="A76" s="41">
        <v>31472</v>
      </c>
      <c r="B76" s="40">
        <v>7.99</v>
      </c>
      <c r="C76" s="40">
        <v>7.8125</v>
      </c>
      <c r="D76" s="40">
        <v>178.66</v>
      </c>
      <c r="E76" s="40">
        <v>327.78</v>
      </c>
      <c r="F76" s="40">
        <v>13.9</v>
      </c>
      <c r="G76" s="40">
        <v>1505583</v>
      </c>
      <c r="H76" s="40">
        <v>9.25</v>
      </c>
      <c r="I76" s="40">
        <v>14.25</v>
      </c>
      <c r="J76" s="40">
        <v>358.15</v>
      </c>
      <c r="K76" s="40">
        <v>701.34</v>
      </c>
      <c r="L76" s="40">
        <v>12.5</v>
      </c>
      <c r="M76" s="40">
        <v>47754</v>
      </c>
    </row>
    <row r="77" spans="1:13" x14ac:dyDescent="0.6">
      <c r="A77" s="41">
        <v>31503</v>
      </c>
      <c r="B77" s="40">
        <v>7.4</v>
      </c>
      <c r="C77" s="40">
        <v>7.0629999999999997</v>
      </c>
      <c r="D77" s="40">
        <v>187.32</v>
      </c>
      <c r="E77" s="40">
        <v>344.67</v>
      </c>
      <c r="F77" s="40">
        <v>14.3</v>
      </c>
      <c r="G77" s="40">
        <v>1581661</v>
      </c>
      <c r="H77" s="40">
        <v>8.3800000000000008</v>
      </c>
      <c r="I77" s="40">
        <v>12.875</v>
      </c>
      <c r="J77" s="40">
        <v>426.93</v>
      </c>
      <c r="K77" s="40">
        <v>838.03</v>
      </c>
      <c r="L77" s="40">
        <v>15.3</v>
      </c>
      <c r="M77" s="40">
        <v>56927</v>
      </c>
    </row>
    <row r="78" spans="1:13" x14ac:dyDescent="0.6">
      <c r="A78" s="41">
        <v>31533</v>
      </c>
      <c r="B78" s="40">
        <v>7.44</v>
      </c>
      <c r="C78" s="40">
        <v>6.8125</v>
      </c>
      <c r="D78" s="40">
        <v>187.78</v>
      </c>
      <c r="E78" s="40">
        <v>346.54</v>
      </c>
      <c r="F78" s="40">
        <v>14.4</v>
      </c>
      <c r="G78" s="40">
        <v>1586100</v>
      </c>
      <c r="H78" s="40">
        <v>7.96</v>
      </c>
      <c r="I78" s="40">
        <v>7.5625</v>
      </c>
      <c r="J78" s="40">
        <v>468.4</v>
      </c>
      <c r="K78" s="40">
        <v>921.43</v>
      </c>
      <c r="L78" s="40">
        <v>16.5</v>
      </c>
      <c r="M78" s="40">
        <v>62576</v>
      </c>
    </row>
    <row r="79" spans="1:13" x14ac:dyDescent="0.6">
      <c r="A79" s="41">
        <v>31564</v>
      </c>
      <c r="B79" s="40">
        <v>8.35</v>
      </c>
      <c r="C79" s="40">
        <v>7.0625</v>
      </c>
      <c r="D79" s="40">
        <v>195.53</v>
      </c>
      <c r="E79" s="40">
        <v>361.92</v>
      </c>
      <c r="F79" s="40">
        <v>14.9</v>
      </c>
      <c r="G79" s="40">
        <v>1652462</v>
      </c>
      <c r="H79" s="40">
        <v>8.16</v>
      </c>
      <c r="I79" s="40">
        <v>7.5</v>
      </c>
      <c r="J79" s="40">
        <v>447.96</v>
      </c>
      <c r="K79" s="40">
        <v>883.08</v>
      </c>
      <c r="L79" s="40">
        <v>14.2</v>
      </c>
      <c r="M79" s="40">
        <v>59847</v>
      </c>
    </row>
    <row r="80" spans="1:13" x14ac:dyDescent="0.6">
      <c r="A80" s="41">
        <v>31594</v>
      </c>
      <c r="B80" s="40">
        <v>7.35</v>
      </c>
      <c r="C80" s="40">
        <v>6.75</v>
      </c>
      <c r="D80" s="40">
        <v>202.58</v>
      </c>
      <c r="E80" s="40">
        <v>376.01</v>
      </c>
      <c r="F80" s="40">
        <v>15</v>
      </c>
      <c r="G80" s="40">
        <v>1714419</v>
      </c>
      <c r="H80" s="40">
        <v>7.97</v>
      </c>
      <c r="I80" s="40">
        <v>7.4379999999999997</v>
      </c>
      <c r="J80" s="40">
        <v>430.68</v>
      </c>
      <c r="K80" s="40">
        <v>850.98</v>
      </c>
      <c r="L80" s="40">
        <v>13.7</v>
      </c>
      <c r="M80" s="40">
        <v>59449</v>
      </c>
    </row>
    <row r="81" spans="1:13" x14ac:dyDescent="0.6">
      <c r="A81" s="41">
        <v>31625</v>
      </c>
      <c r="B81" s="40">
        <v>7.33</v>
      </c>
      <c r="C81" s="40">
        <v>6.4375</v>
      </c>
      <c r="D81" s="40">
        <v>190.2</v>
      </c>
      <c r="E81" s="40">
        <v>354.11</v>
      </c>
      <c r="F81" s="40">
        <v>14.1</v>
      </c>
      <c r="G81" s="40">
        <v>1611196</v>
      </c>
      <c r="H81" s="40">
        <v>7.93</v>
      </c>
      <c r="I81" s="40">
        <v>7.25</v>
      </c>
      <c r="J81" s="40">
        <v>460.1</v>
      </c>
      <c r="K81" s="40">
        <v>911.35</v>
      </c>
      <c r="L81" s="40">
        <v>14.5</v>
      </c>
      <c r="M81" s="40">
        <v>63503</v>
      </c>
    </row>
    <row r="82" spans="1:13" x14ac:dyDescent="0.6">
      <c r="A82" s="41">
        <v>31656</v>
      </c>
      <c r="B82" s="40">
        <v>6.93</v>
      </c>
      <c r="C82" s="40">
        <v>5.5625</v>
      </c>
      <c r="D82" s="40">
        <v>203.17</v>
      </c>
      <c r="E82" s="40">
        <v>379.3</v>
      </c>
      <c r="F82" s="40">
        <v>15.1</v>
      </c>
      <c r="G82" s="40">
        <v>1722636</v>
      </c>
      <c r="H82" s="40">
        <v>7.64</v>
      </c>
      <c r="I82" s="40">
        <v>7.3125</v>
      </c>
      <c r="J82" s="40">
        <v>506.21</v>
      </c>
      <c r="K82" s="40">
        <v>1004.82</v>
      </c>
      <c r="L82" s="40">
        <v>14.8</v>
      </c>
      <c r="M82" s="40">
        <v>69846</v>
      </c>
    </row>
    <row r="83" spans="1:13" x14ac:dyDescent="0.6">
      <c r="A83" s="41">
        <v>31686</v>
      </c>
      <c r="B83" s="40">
        <v>7.42</v>
      </c>
      <c r="C83" s="40">
        <v>6.0629999999999997</v>
      </c>
      <c r="D83" s="40">
        <v>185.43</v>
      </c>
      <c r="E83" s="40">
        <v>347.24</v>
      </c>
      <c r="F83" s="40">
        <v>13.6</v>
      </c>
      <c r="G83" s="40">
        <v>1578827</v>
      </c>
      <c r="H83" s="40">
        <v>7.95</v>
      </c>
      <c r="I83" s="40">
        <v>8</v>
      </c>
      <c r="J83" s="40">
        <v>473.06</v>
      </c>
      <c r="K83" s="40">
        <v>941.13</v>
      </c>
      <c r="L83" s="40">
        <v>14.2</v>
      </c>
      <c r="M83" s="40">
        <v>65794</v>
      </c>
    </row>
    <row r="84" spans="1:13" x14ac:dyDescent="0.6">
      <c r="A84" s="41">
        <v>31717</v>
      </c>
      <c r="B84" s="40">
        <v>7.29</v>
      </c>
      <c r="C84" s="40">
        <v>5.8129999999999997</v>
      </c>
      <c r="D84" s="40">
        <v>195.73</v>
      </c>
      <c r="E84" s="40">
        <v>367.68</v>
      </c>
      <c r="F84" s="40">
        <v>14.3</v>
      </c>
      <c r="G84" s="40">
        <v>1669028</v>
      </c>
      <c r="H84" s="40">
        <v>8.39</v>
      </c>
      <c r="I84" s="40">
        <v>7.6875</v>
      </c>
      <c r="J84" s="40">
        <v>473.28</v>
      </c>
      <c r="K84" s="40">
        <v>943.79</v>
      </c>
      <c r="L84" s="40">
        <v>14.5</v>
      </c>
      <c r="M84" s="40">
        <v>66490</v>
      </c>
    </row>
    <row r="85" spans="1:13" x14ac:dyDescent="0.6">
      <c r="A85" s="41">
        <v>31747</v>
      </c>
      <c r="B85" s="40">
        <v>7.16</v>
      </c>
      <c r="C85" s="40">
        <v>6.0629999999999997</v>
      </c>
      <c r="D85" s="40">
        <v>197.7</v>
      </c>
      <c r="E85" s="40">
        <v>372.37</v>
      </c>
      <c r="F85" s="40">
        <v>14.5</v>
      </c>
      <c r="G85" s="40">
        <v>1691079</v>
      </c>
      <c r="H85" s="40">
        <v>8.5299999999999994</v>
      </c>
      <c r="I85" s="40">
        <v>8.5</v>
      </c>
      <c r="J85" s="40">
        <v>493.75</v>
      </c>
      <c r="K85" s="40">
        <v>986.65</v>
      </c>
      <c r="L85" s="40">
        <v>15.1</v>
      </c>
      <c r="M85" s="40">
        <v>69501</v>
      </c>
    </row>
    <row r="86" spans="1:13" x14ac:dyDescent="0.6">
      <c r="A86" s="41">
        <v>31778</v>
      </c>
      <c r="B86" s="40">
        <v>7.21</v>
      </c>
      <c r="C86" s="40">
        <v>6.3125</v>
      </c>
      <c r="D86" s="40">
        <v>192.34</v>
      </c>
      <c r="E86" s="40">
        <v>363.4</v>
      </c>
      <c r="F86" s="40">
        <v>13.9</v>
      </c>
      <c r="G86" s="40">
        <v>1643471</v>
      </c>
      <c r="H86" s="40">
        <v>9.16</v>
      </c>
      <c r="I86" s="40">
        <v>10.625</v>
      </c>
      <c r="J86" s="40">
        <v>493.91</v>
      </c>
      <c r="K86" s="40">
        <v>989.18</v>
      </c>
      <c r="L86" s="40">
        <v>13.9</v>
      </c>
      <c r="M86" s="40">
        <v>72774</v>
      </c>
    </row>
    <row r="87" spans="1:13" x14ac:dyDescent="0.6">
      <c r="A87" s="41">
        <v>31809</v>
      </c>
      <c r="B87" s="40">
        <v>7.22</v>
      </c>
      <c r="C87" s="40">
        <v>6.25</v>
      </c>
      <c r="D87" s="40">
        <v>220.48</v>
      </c>
      <c r="E87" s="40">
        <v>417.72</v>
      </c>
      <c r="F87" s="40">
        <v>15.9</v>
      </c>
      <c r="G87" s="40">
        <v>1887383</v>
      </c>
      <c r="H87" s="40">
        <v>8.89</v>
      </c>
      <c r="I87" s="40">
        <v>8.9380000000000006</v>
      </c>
      <c r="J87" s="40">
        <v>519.9</v>
      </c>
      <c r="K87" s="40">
        <v>1043.44</v>
      </c>
      <c r="L87" s="40">
        <v>12.8</v>
      </c>
      <c r="M87" s="40">
        <v>76825</v>
      </c>
    </row>
    <row r="88" spans="1:13" x14ac:dyDescent="0.6">
      <c r="A88" s="41">
        <v>31837</v>
      </c>
      <c r="B88" s="40">
        <v>7.16</v>
      </c>
      <c r="C88" s="40">
        <v>6.375</v>
      </c>
      <c r="D88" s="40">
        <v>224.67</v>
      </c>
      <c r="E88" s="40">
        <v>426.68</v>
      </c>
      <c r="F88" s="40">
        <v>16.2</v>
      </c>
      <c r="G88" s="40">
        <v>1923246</v>
      </c>
      <c r="H88" s="40">
        <v>8.7899999999999991</v>
      </c>
      <c r="I88" s="40">
        <v>8.4380000000000006</v>
      </c>
      <c r="J88" s="40">
        <v>537.83000000000004</v>
      </c>
      <c r="K88" s="40">
        <v>1081.44</v>
      </c>
      <c r="L88" s="40">
        <v>14.1</v>
      </c>
      <c r="M88" s="40">
        <v>83886</v>
      </c>
    </row>
    <row r="89" spans="1:13" x14ac:dyDescent="0.6">
      <c r="A89" s="41">
        <v>31868</v>
      </c>
      <c r="B89" s="40">
        <v>7.58</v>
      </c>
      <c r="C89" s="40">
        <v>6.5629999999999997</v>
      </c>
      <c r="D89" s="40">
        <v>230.74</v>
      </c>
      <c r="E89" s="40">
        <v>439.33</v>
      </c>
      <c r="F89" s="40">
        <v>16.3</v>
      </c>
      <c r="G89" s="40">
        <v>1979794</v>
      </c>
      <c r="H89" s="40">
        <v>8.6199999999999992</v>
      </c>
      <c r="I89" s="40">
        <v>8.3125</v>
      </c>
      <c r="J89" s="40">
        <v>559.51</v>
      </c>
      <c r="K89" s="40">
        <v>1127.1600000000001</v>
      </c>
      <c r="L89" s="40">
        <v>14.8</v>
      </c>
      <c r="M89" s="40">
        <v>87393</v>
      </c>
    </row>
    <row r="90" spans="1:13" x14ac:dyDescent="0.6">
      <c r="A90" s="41">
        <v>31898</v>
      </c>
      <c r="B90" s="40">
        <v>8.19</v>
      </c>
      <c r="C90" s="40">
        <v>7.1879999999999997</v>
      </c>
      <c r="D90" s="40">
        <v>225.3</v>
      </c>
      <c r="E90" s="40">
        <v>430.12</v>
      </c>
      <c r="F90" s="40">
        <v>15.9</v>
      </c>
      <c r="G90" s="40">
        <v>1936037</v>
      </c>
      <c r="H90" s="40">
        <v>8.6999999999999993</v>
      </c>
      <c r="I90" s="40">
        <v>8.375</v>
      </c>
      <c r="J90" s="40">
        <v>563.17999999999995</v>
      </c>
      <c r="K90" s="40">
        <v>1136.6600000000001</v>
      </c>
      <c r="L90" s="40">
        <v>14.9</v>
      </c>
      <c r="M90" s="40">
        <v>87981</v>
      </c>
    </row>
    <row r="91" spans="1:13" x14ac:dyDescent="0.6">
      <c r="A91" s="41">
        <v>31929</v>
      </c>
      <c r="B91" s="40">
        <v>8.4499999999999993</v>
      </c>
      <c r="C91" s="40">
        <v>7.1875</v>
      </c>
      <c r="D91" s="40">
        <v>227.03</v>
      </c>
      <c r="E91" s="40">
        <v>434.52</v>
      </c>
      <c r="F91" s="40">
        <v>16</v>
      </c>
      <c r="G91" s="40">
        <v>1951602</v>
      </c>
      <c r="H91" s="40">
        <v>8.92</v>
      </c>
      <c r="I91" s="40">
        <v>8.3125</v>
      </c>
      <c r="J91" s="40">
        <v>540.25</v>
      </c>
      <c r="K91" s="40">
        <v>1092.3800000000001</v>
      </c>
      <c r="L91" s="40">
        <v>14.2</v>
      </c>
      <c r="M91" s="40">
        <v>86597</v>
      </c>
    </row>
    <row r="92" spans="1:13" x14ac:dyDescent="0.6">
      <c r="A92" s="41">
        <v>31959</v>
      </c>
      <c r="B92" s="40">
        <v>8.35</v>
      </c>
      <c r="C92" s="40">
        <v>7.0625</v>
      </c>
      <c r="D92" s="40">
        <v>237.76</v>
      </c>
      <c r="E92" s="40">
        <v>456.22</v>
      </c>
      <c r="F92" s="40">
        <v>16.8</v>
      </c>
      <c r="G92" s="40">
        <v>2044983</v>
      </c>
      <c r="H92" s="40">
        <v>9.33</v>
      </c>
      <c r="I92" s="40">
        <v>8.375</v>
      </c>
      <c r="J92" s="40">
        <v>512.55999999999995</v>
      </c>
      <c r="K92" s="40">
        <v>1038.45</v>
      </c>
      <c r="L92" s="40">
        <v>13.8</v>
      </c>
      <c r="M92" s="40">
        <v>85348</v>
      </c>
    </row>
    <row r="93" spans="1:13" x14ac:dyDescent="0.6">
      <c r="A93" s="41">
        <v>31990</v>
      </c>
      <c r="B93" s="40">
        <v>8.8000000000000007</v>
      </c>
      <c r="C93" s="40">
        <v>7.0629999999999997</v>
      </c>
      <c r="D93" s="40">
        <v>246.71</v>
      </c>
      <c r="E93" s="40">
        <v>474.64</v>
      </c>
      <c r="F93" s="40">
        <v>17.399999999999999</v>
      </c>
      <c r="G93" s="40">
        <v>2123227</v>
      </c>
      <c r="H93" s="40">
        <v>9.58</v>
      </c>
      <c r="I93" s="40">
        <v>8.0630000000000006</v>
      </c>
      <c r="J93" s="40">
        <v>533.29</v>
      </c>
      <c r="K93" s="40">
        <v>1082.6199999999999</v>
      </c>
      <c r="L93" s="40">
        <v>14.1</v>
      </c>
      <c r="M93" s="40">
        <v>91725</v>
      </c>
    </row>
    <row r="94" spans="1:13" x14ac:dyDescent="0.6">
      <c r="A94" s="41">
        <v>32021</v>
      </c>
      <c r="B94" s="40">
        <v>9.07</v>
      </c>
      <c r="C94" s="40">
        <v>7.25</v>
      </c>
      <c r="D94" s="40">
        <v>254.18</v>
      </c>
      <c r="E94" s="40">
        <v>490.13</v>
      </c>
      <c r="F94" s="40">
        <v>17.899999999999999</v>
      </c>
      <c r="G94" s="40">
        <v>2188562</v>
      </c>
      <c r="H94" s="40">
        <v>9.86</v>
      </c>
      <c r="I94" s="40">
        <v>8.1880000000000006</v>
      </c>
      <c r="J94" s="40">
        <v>546.51</v>
      </c>
      <c r="K94" s="40">
        <v>1111.5</v>
      </c>
      <c r="L94" s="40">
        <v>14.2</v>
      </c>
      <c r="M94" s="40">
        <v>94000</v>
      </c>
    </row>
    <row r="95" spans="1:13" x14ac:dyDescent="0.6">
      <c r="A95" s="41">
        <v>32051</v>
      </c>
      <c r="B95" s="40">
        <v>9.66</v>
      </c>
      <c r="C95" s="40">
        <v>8.1880000000000006</v>
      </c>
      <c r="D95" s="40">
        <v>256.87</v>
      </c>
      <c r="E95" s="40">
        <v>496.54</v>
      </c>
      <c r="F95" s="40">
        <v>17.2</v>
      </c>
      <c r="G95" s="40">
        <v>2215563</v>
      </c>
      <c r="H95" s="40">
        <v>10.59</v>
      </c>
      <c r="I95" s="40">
        <v>8.25</v>
      </c>
      <c r="J95" s="40">
        <v>519.98</v>
      </c>
      <c r="K95" s="40">
        <v>1059.54</v>
      </c>
      <c r="L95" s="40">
        <v>13.6</v>
      </c>
      <c r="M95" s="40">
        <v>90246</v>
      </c>
    </row>
    <row r="96" spans="1:13" x14ac:dyDescent="0.6">
      <c r="A96" s="41">
        <v>32082</v>
      </c>
      <c r="B96" s="40">
        <v>8.99</v>
      </c>
      <c r="C96" s="40">
        <v>7.6879999999999997</v>
      </c>
      <c r="D96" s="40">
        <v>202.75</v>
      </c>
      <c r="E96" s="40">
        <v>393.05</v>
      </c>
      <c r="F96" s="40">
        <v>13.6</v>
      </c>
      <c r="G96" s="40">
        <v>1748684</v>
      </c>
      <c r="H96" s="40">
        <v>10.09</v>
      </c>
      <c r="I96" s="40">
        <v>9.1880000000000006</v>
      </c>
      <c r="J96" s="40">
        <v>408.31</v>
      </c>
      <c r="K96" s="40">
        <v>833.87</v>
      </c>
      <c r="L96" s="40">
        <v>10.7</v>
      </c>
      <c r="M96" s="40">
        <v>70936</v>
      </c>
    </row>
    <row r="97" spans="1:13" x14ac:dyDescent="0.6">
      <c r="A97" s="41">
        <v>32112</v>
      </c>
      <c r="B97" s="40">
        <v>9.01</v>
      </c>
      <c r="C97" s="40">
        <v>7.75</v>
      </c>
      <c r="D97" s="40">
        <v>185.09</v>
      </c>
      <c r="E97" s="40">
        <v>359.92</v>
      </c>
      <c r="F97" s="40">
        <v>12.4</v>
      </c>
      <c r="G97" s="40">
        <v>1597902</v>
      </c>
      <c r="H97" s="40">
        <v>9.84</v>
      </c>
      <c r="I97" s="40">
        <v>9</v>
      </c>
      <c r="J97" s="40">
        <v>379.69</v>
      </c>
      <c r="K97" s="40">
        <v>777.37</v>
      </c>
      <c r="L97" s="40">
        <v>10.1</v>
      </c>
      <c r="M97" s="40">
        <v>66836</v>
      </c>
    </row>
    <row r="98" spans="1:13" x14ac:dyDescent="0.6">
      <c r="A98" s="41">
        <v>32143</v>
      </c>
      <c r="B98" s="40">
        <v>8.83</v>
      </c>
      <c r="C98" s="40">
        <v>7.375</v>
      </c>
      <c r="D98" s="40">
        <v>195.91</v>
      </c>
      <c r="E98" s="40">
        <v>382.27</v>
      </c>
      <c r="F98" s="40">
        <v>12.4</v>
      </c>
      <c r="G98" s="40">
        <v>1696432</v>
      </c>
      <c r="H98" s="40">
        <v>9.9600000000000009</v>
      </c>
      <c r="I98" s="40">
        <v>8.9380000000000006</v>
      </c>
      <c r="J98" s="40">
        <v>365.75</v>
      </c>
      <c r="K98" s="40">
        <v>750.99</v>
      </c>
      <c r="L98" s="40">
        <v>9.9</v>
      </c>
      <c r="M98" s="40">
        <v>65611</v>
      </c>
    </row>
    <row r="99" spans="1:13" x14ac:dyDescent="0.6">
      <c r="A99" s="41">
        <v>32174</v>
      </c>
      <c r="B99" s="40">
        <v>8.2799999999999994</v>
      </c>
      <c r="C99" s="40">
        <v>6.8129999999999997</v>
      </c>
      <c r="D99" s="40">
        <v>202.53</v>
      </c>
      <c r="E99" s="40">
        <v>396.4</v>
      </c>
      <c r="F99" s="40">
        <v>12.8</v>
      </c>
      <c r="G99" s="40">
        <v>1749507</v>
      </c>
      <c r="H99" s="40">
        <v>9.11</v>
      </c>
      <c r="I99" s="40">
        <v>8.0630000000000006</v>
      </c>
      <c r="J99" s="40">
        <v>332.66</v>
      </c>
      <c r="K99" s="40">
        <v>684.89</v>
      </c>
      <c r="L99" s="40">
        <v>9.1999999999999993</v>
      </c>
      <c r="M99" s="40">
        <v>60755</v>
      </c>
    </row>
    <row r="100" spans="1:13" x14ac:dyDescent="0.6">
      <c r="A100" s="41">
        <v>32203</v>
      </c>
      <c r="B100" s="40">
        <v>8.16</v>
      </c>
      <c r="C100" s="40">
        <v>6.75</v>
      </c>
      <c r="D100" s="40">
        <v>211.35</v>
      </c>
      <c r="E100" s="40">
        <v>414.88</v>
      </c>
      <c r="F100" s="40">
        <v>13.3</v>
      </c>
      <c r="G100" s="40">
        <v>1827432</v>
      </c>
      <c r="H100" s="40">
        <v>9.0399999999999991</v>
      </c>
      <c r="I100" s="40">
        <v>7.625</v>
      </c>
      <c r="J100" s="40">
        <v>394.53</v>
      </c>
      <c r="K100" s="40">
        <v>814.34</v>
      </c>
      <c r="L100" s="40">
        <v>10.4</v>
      </c>
      <c r="M100" s="40">
        <v>72058</v>
      </c>
    </row>
    <row r="101" spans="1:13" x14ac:dyDescent="0.6">
      <c r="A101" s="41">
        <v>32234</v>
      </c>
      <c r="B101" s="40">
        <v>8.57</v>
      </c>
      <c r="C101" s="40">
        <v>6.8129999999999997</v>
      </c>
      <c r="D101" s="40">
        <v>204.72</v>
      </c>
      <c r="E101" s="40">
        <v>403.17</v>
      </c>
      <c r="F101" s="40">
        <v>12.4</v>
      </c>
      <c r="G101" s="40">
        <v>1768463</v>
      </c>
      <c r="H101" s="40">
        <v>9.4600000000000009</v>
      </c>
      <c r="I101" s="40">
        <v>8.375</v>
      </c>
      <c r="J101" s="40">
        <v>366.58</v>
      </c>
      <c r="K101" s="40">
        <v>758.74</v>
      </c>
      <c r="L101" s="40">
        <v>9.8000000000000007</v>
      </c>
      <c r="M101" s="40">
        <v>66985</v>
      </c>
    </row>
    <row r="102" spans="1:13" x14ac:dyDescent="0.6">
      <c r="A102" s="41">
        <v>32264</v>
      </c>
      <c r="B102" s="40">
        <v>8.8800000000000008</v>
      </c>
      <c r="C102" s="40">
        <v>7.1879999999999997</v>
      </c>
      <c r="D102" s="40">
        <v>206.46</v>
      </c>
      <c r="E102" s="40">
        <v>407.82</v>
      </c>
      <c r="F102" s="40">
        <v>12.5</v>
      </c>
      <c r="G102" s="40">
        <v>1774292</v>
      </c>
      <c r="H102" s="40">
        <v>9.25</v>
      </c>
      <c r="I102" s="40">
        <v>8.3125</v>
      </c>
      <c r="J102" s="40">
        <v>404.46</v>
      </c>
      <c r="K102" s="40">
        <v>839.27</v>
      </c>
      <c r="L102" s="40">
        <v>10.7</v>
      </c>
      <c r="M102" s="40">
        <v>73910</v>
      </c>
    </row>
    <row r="103" spans="1:13" x14ac:dyDescent="0.6">
      <c r="A103" s="41">
        <v>32295</v>
      </c>
      <c r="B103" s="40">
        <v>9.01</v>
      </c>
      <c r="C103" s="40">
        <v>7.625</v>
      </c>
      <c r="D103" s="40">
        <v>210.29</v>
      </c>
      <c r="E103" s="40">
        <v>416.72</v>
      </c>
      <c r="F103" s="40">
        <v>12.7</v>
      </c>
      <c r="G103" s="40">
        <v>1804705</v>
      </c>
      <c r="H103" s="40">
        <v>9</v>
      </c>
      <c r="I103" s="40">
        <v>7.75</v>
      </c>
      <c r="J103" s="40">
        <v>446.19</v>
      </c>
      <c r="K103" s="40">
        <v>928.28</v>
      </c>
      <c r="L103" s="40">
        <v>11.9</v>
      </c>
      <c r="M103" s="40">
        <v>81621</v>
      </c>
    </row>
    <row r="104" spans="1:13" x14ac:dyDescent="0.6">
      <c r="A104" s="41">
        <v>32325</v>
      </c>
      <c r="B104" s="40">
        <v>8.7799999999999994</v>
      </c>
      <c r="C104" s="40">
        <v>7.8129999999999997</v>
      </c>
      <c r="D104" s="40">
        <v>213.97</v>
      </c>
      <c r="E104" s="40">
        <v>425.35</v>
      </c>
      <c r="F104" s="40">
        <v>12.1</v>
      </c>
      <c r="G104" s="40">
        <v>1837887</v>
      </c>
      <c r="H104" s="40">
        <v>8.82</v>
      </c>
      <c r="I104" s="40">
        <v>7.4379999999999997</v>
      </c>
      <c r="J104" s="40">
        <v>472.58</v>
      </c>
      <c r="K104" s="40">
        <v>985.6</v>
      </c>
      <c r="L104" s="40">
        <v>11.2</v>
      </c>
      <c r="M104" s="40">
        <v>87788</v>
      </c>
    </row>
    <row r="105" spans="1:13" x14ac:dyDescent="0.6">
      <c r="A105" s="41">
        <v>32356</v>
      </c>
      <c r="B105" s="40">
        <v>9.0500000000000007</v>
      </c>
      <c r="C105" s="40">
        <v>8.3130000000000006</v>
      </c>
      <c r="D105" s="40">
        <v>214.27</v>
      </c>
      <c r="E105" s="40">
        <v>427.21</v>
      </c>
      <c r="F105" s="40">
        <v>12.1</v>
      </c>
      <c r="G105" s="40">
        <v>1841584</v>
      </c>
      <c r="H105" s="40">
        <v>9.09</v>
      </c>
      <c r="I105" s="40">
        <v>7.5</v>
      </c>
      <c r="J105" s="40">
        <v>474.67</v>
      </c>
      <c r="K105" s="40">
        <v>992.38</v>
      </c>
      <c r="L105" s="40">
        <v>11.1</v>
      </c>
      <c r="M105" s="40">
        <v>88713</v>
      </c>
    </row>
    <row r="106" spans="1:13" x14ac:dyDescent="0.6">
      <c r="A106" s="41">
        <v>32387</v>
      </c>
      <c r="B106" s="40">
        <v>9.25</v>
      </c>
      <c r="C106" s="40">
        <v>8.5630000000000006</v>
      </c>
      <c r="D106" s="40">
        <v>205.23</v>
      </c>
      <c r="E106" s="40">
        <v>410.57</v>
      </c>
      <c r="F106" s="40">
        <v>11.6</v>
      </c>
      <c r="G106" s="40">
        <v>1764992</v>
      </c>
      <c r="H106" s="40">
        <v>9.3699999999999992</v>
      </c>
      <c r="I106" s="40">
        <v>8.0630000000000006</v>
      </c>
      <c r="J106" s="40">
        <v>458.33</v>
      </c>
      <c r="K106" s="40">
        <v>960.84</v>
      </c>
      <c r="L106" s="40">
        <v>10.5</v>
      </c>
      <c r="M106" s="40">
        <v>87922</v>
      </c>
    </row>
    <row r="107" spans="1:13" x14ac:dyDescent="0.6">
      <c r="A107" s="41">
        <v>32417</v>
      </c>
      <c r="B107" s="40">
        <v>8.84</v>
      </c>
      <c r="C107" s="40">
        <v>8.5500000000000007</v>
      </c>
      <c r="D107" s="40">
        <v>215.6</v>
      </c>
      <c r="E107" s="40">
        <v>432.67</v>
      </c>
      <c r="F107" s="40">
        <v>11.8</v>
      </c>
      <c r="G107" s="40">
        <v>1852709</v>
      </c>
      <c r="H107" s="40">
        <v>8.7799999999999994</v>
      </c>
      <c r="I107" s="40">
        <v>7.8129999999999997</v>
      </c>
      <c r="J107" s="40">
        <v>509.3</v>
      </c>
      <c r="K107" s="40">
        <v>1070.3800000000001</v>
      </c>
      <c r="L107" s="40">
        <v>11.6</v>
      </c>
      <c r="M107" s="40">
        <v>97702</v>
      </c>
    </row>
    <row r="108" spans="1:13" x14ac:dyDescent="0.6">
      <c r="A108" s="41">
        <v>32448</v>
      </c>
      <c r="B108" s="40">
        <v>8.67</v>
      </c>
      <c r="C108" s="40">
        <v>8.5500000000000007</v>
      </c>
      <c r="D108" s="40">
        <v>219.33</v>
      </c>
      <c r="E108" s="40">
        <v>441.45</v>
      </c>
      <c r="F108" s="40">
        <v>12</v>
      </c>
      <c r="G108" s="40">
        <v>1880946</v>
      </c>
      <c r="H108" s="40">
        <v>8.59</v>
      </c>
      <c r="I108" s="40">
        <v>8.0630000000000006</v>
      </c>
      <c r="J108" s="40">
        <v>530.41999999999996</v>
      </c>
      <c r="K108" s="40">
        <v>1117.28</v>
      </c>
      <c r="L108" s="40">
        <v>11.9</v>
      </c>
      <c r="M108" s="40">
        <v>104188</v>
      </c>
    </row>
    <row r="109" spans="1:13" x14ac:dyDescent="0.6">
      <c r="A109" s="41">
        <v>32478</v>
      </c>
      <c r="B109" s="40">
        <v>9.01</v>
      </c>
      <c r="C109" s="40">
        <v>9.1796000000000006</v>
      </c>
      <c r="D109" s="40">
        <v>214.23</v>
      </c>
      <c r="E109" s="40">
        <v>432.55</v>
      </c>
      <c r="F109" s="40">
        <v>11.6</v>
      </c>
      <c r="G109" s="40">
        <v>1834763</v>
      </c>
      <c r="H109" s="40">
        <v>8.7200000000000006</v>
      </c>
      <c r="I109" s="40">
        <v>8.25</v>
      </c>
      <c r="J109" s="40">
        <v>530.1</v>
      </c>
      <c r="K109" s="40">
        <v>1119.2</v>
      </c>
      <c r="L109" s="40">
        <v>11.7</v>
      </c>
      <c r="M109" s="40">
        <v>104126</v>
      </c>
    </row>
    <row r="110" spans="1:13" x14ac:dyDescent="0.6">
      <c r="A110" s="41">
        <v>32509</v>
      </c>
      <c r="B110" s="40">
        <v>9.1440000000000001</v>
      </c>
      <c r="C110" s="40">
        <v>9.3613999999999997</v>
      </c>
      <c r="D110" s="40">
        <v>219.12</v>
      </c>
      <c r="E110" s="40">
        <v>443.83</v>
      </c>
      <c r="F110" s="40">
        <v>11.9</v>
      </c>
      <c r="G110" s="40">
        <v>1870921</v>
      </c>
      <c r="H110" s="40">
        <v>8.6270000000000007</v>
      </c>
      <c r="I110" s="40">
        <v>8.625</v>
      </c>
      <c r="J110" s="40">
        <v>565.51</v>
      </c>
      <c r="K110" s="40">
        <v>1196.6500000000001</v>
      </c>
      <c r="L110" s="40">
        <v>12.6</v>
      </c>
      <c r="M110" s="40">
        <v>113100</v>
      </c>
    </row>
    <row r="111" spans="1:13" x14ac:dyDescent="0.6">
      <c r="A111" s="41">
        <v>32540</v>
      </c>
      <c r="B111" s="40">
        <v>8.9770000000000003</v>
      </c>
      <c r="C111" s="40">
        <v>9.3081999999999994</v>
      </c>
      <c r="D111" s="40">
        <v>232.57</v>
      </c>
      <c r="E111" s="40">
        <v>472.52</v>
      </c>
      <c r="F111" s="40">
        <v>12.5</v>
      </c>
      <c r="G111" s="40">
        <v>1988893</v>
      </c>
      <c r="H111" s="40">
        <v>8.6920000000000002</v>
      </c>
      <c r="I111" s="40">
        <v>9</v>
      </c>
      <c r="J111" s="40">
        <v>599.87</v>
      </c>
      <c r="K111" s="40">
        <v>1271.96</v>
      </c>
      <c r="L111" s="40">
        <v>13.3</v>
      </c>
      <c r="M111" s="40">
        <v>119973</v>
      </c>
    </row>
    <row r="112" spans="1:13" x14ac:dyDescent="0.6">
      <c r="A112" s="41">
        <v>32568</v>
      </c>
      <c r="B112" s="40">
        <v>9.3780000000000001</v>
      </c>
      <c r="C112" s="40">
        <v>10.181699999999999</v>
      </c>
      <c r="D112" s="40">
        <v>225.23</v>
      </c>
      <c r="E112" s="40">
        <v>458.89</v>
      </c>
      <c r="F112" s="40">
        <v>12.1</v>
      </c>
      <c r="G112" s="40">
        <v>1926126</v>
      </c>
      <c r="H112" s="40">
        <v>9.2140000000000004</v>
      </c>
      <c r="I112" s="40">
        <v>9.625</v>
      </c>
      <c r="J112" s="40">
        <v>571.78</v>
      </c>
      <c r="K112" s="40">
        <v>1214.69</v>
      </c>
      <c r="L112" s="40">
        <v>11.4</v>
      </c>
      <c r="M112" s="40">
        <v>114383</v>
      </c>
    </row>
    <row r="113" spans="1:13" x14ac:dyDescent="0.6">
      <c r="A113" s="41">
        <v>32599</v>
      </c>
      <c r="B113" s="40">
        <v>9.218</v>
      </c>
      <c r="C113" s="40">
        <v>10.1197</v>
      </c>
      <c r="D113" s="40">
        <v>232.81</v>
      </c>
      <c r="E113" s="40">
        <v>475.86</v>
      </c>
      <c r="F113" s="40">
        <v>12.5</v>
      </c>
      <c r="G113" s="40">
        <v>1991275</v>
      </c>
      <c r="H113" s="40">
        <v>8.9420000000000002</v>
      </c>
      <c r="I113" s="40">
        <v>8.8130000000000006</v>
      </c>
      <c r="J113" s="40">
        <v>600.88</v>
      </c>
      <c r="K113" s="40">
        <v>1279.26</v>
      </c>
      <c r="L113" s="40">
        <v>12</v>
      </c>
      <c r="M113" s="40">
        <v>121567</v>
      </c>
    </row>
    <row r="114" spans="1:13" x14ac:dyDescent="0.6">
      <c r="A114" s="41">
        <v>32629</v>
      </c>
      <c r="B114" s="40">
        <v>9.1340000000000003</v>
      </c>
      <c r="C114" s="40">
        <v>9.9334000000000007</v>
      </c>
      <c r="D114" s="40">
        <v>243.8</v>
      </c>
      <c r="E114" s="40">
        <v>499.68</v>
      </c>
      <c r="F114" s="40">
        <v>12.7</v>
      </c>
      <c r="G114" s="40">
        <v>2083113</v>
      </c>
      <c r="H114" s="40">
        <v>8.76</v>
      </c>
      <c r="I114" s="40">
        <v>8.75</v>
      </c>
      <c r="J114" s="40">
        <v>613.12</v>
      </c>
      <c r="K114" s="40">
        <v>1307.7</v>
      </c>
      <c r="L114" s="40">
        <v>12</v>
      </c>
      <c r="M114" s="40">
        <v>137402</v>
      </c>
    </row>
    <row r="115" spans="1:13" x14ac:dyDescent="0.6">
      <c r="A115" s="41">
        <v>32660</v>
      </c>
      <c r="B115" s="40">
        <v>8.5980000000000008</v>
      </c>
      <c r="C115" s="40">
        <v>9.5564999999999998</v>
      </c>
      <c r="D115" s="40">
        <v>255.42</v>
      </c>
      <c r="E115" s="40">
        <v>525.12</v>
      </c>
      <c r="F115" s="40">
        <v>13.2</v>
      </c>
      <c r="G115" s="40">
        <v>2181169</v>
      </c>
      <c r="H115" s="40">
        <v>8.8360000000000003</v>
      </c>
      <c r="I115" s="40">
        <v>8.9375</v>
      </c>
      <c r="J115" s="40">
        <v>640.91</v>
      </c>
      <c r="K115" s="40">
        <v>1370</v>
      </c>
      <c r="L115" s="40">
        <v>12</v>
      </c>
      <c r="M115" s="40">
        <v>143804</v>
      </c>
    </row>
    <row r="116" spans="1:13" x14ac:dyDescent="0.6">
      <c r="A116" s="41">
        <v>32690</v>
      </c>
      <c r="B116" s="40">
        <v>8.08</v>
      </c>
      <c r="C116" s="40">
        <v>9.1841000000000008</v>
      </c>
      <c r="D116" s="40">
        <v>253.87</v>
      </c>
      <c r="E116" s="40">
        <v>523.4</v>
      </c>
      <c r="F116" s="40">
        <v>13.1</v>
      </c>
      <c r="G116" s="40">
        <v>2165608</v>
      </c>
      <c r="H116" s="40">
        <v>8.7279999999999998</v>
      </c>
      <c r="I116" s="40">
        <v>9.3125</v>
      </c>
      <c r="J116" s="40">
        <v>643.98</v>
      </c>
      <c r="K116" s="40">
        <v>1379.5</v>
      </c>
      <c r="L116" s="40">
        <v>11.7</v>
      </c>
      <c r="M116" s="40">
        <v>144978</v>
      </c>
    </row>
    <row r="117" spans="1:13" x14ac:dyDescent="0.6">
      <c r="A117" s="41">
        <v>32721</v>
      </c>
      <c r="B117" s="40">
        <v>7.7569999999999997</v>
      </c>
      <c r="C117" s="40">
        <v>8.3061000000000007</v>
      </c>
      <c r="D117" s="40">
        <v>274.45999999999998</v>
      </c>
      <c r="E117" s="40">
        <v>567.37</v>
      </c>
      <c r="F117" s="40">
        <v>13.9</v>
      </c>
      <c r="G117" s="40">
        <v>2339937</v>
      </c>
      <c r="H117" s="40">
        <v>8.3230000000000004</v>
      </c>
      <c r="I117" s="40">
        <v>8.9375</v>
      </c>
      <c r="J117" s="40">
        <v>667.34</v>
      </c>
      <c r="K117" s="40">
        <v>1432.92</v>
      </c>
      <c r="L117" s="40">
        <v>11.4</v>
      </c>
      <c r="M117" s="40">
        <v>152181</v>
      </c>
    </row>
    <row r="118" spans="1:13" x14ac:dyDescent="0.6">
      <c r="A118" s="41">
        <v>32752</v>
      </c>
      <c r="B118" s="40">
        <v>8.1690000000000005</v>
      </c>
      <c r="C118" s="40">
        <v>8.9313000000000002</v>
      </c>
      <c r="D118" s="40">
        <v>280.99</v>
      </c>
      <c r="E118" s="40">
        <v>582.5</v>
      </c>
      <c r="F118" s="40">
        <v>14.2</v>
      </c>
      <c r="G118" s="40">
        <v>2396647</v>
      </c>
      <c r="H118" s="40">
        <v>8.42</v>
      </c>
      <c r="I118" s="40">
        <v>9.125</v>
      </c>
      <c r="J118" s="40">
        <v>680.51</v>
      </c>
      <c r="K118" s="40">
        <v>1465.05</v>
      </c>
      <c r="L118" s="40">
        <v>11.1</v>
      </c>
      <c r="M118" s="40">
        <v>157906</v>
      </c>
    </row>
    <row r="119" spans="1:13" x14ac:dyDescent="0.6">
      <c r="A119" s="41">
        <v>32782</v>
      </c>
      <c r="B119" s="40">
        <v>8.2710000000000008</v>
      </c>
      <c r="C119" s="40">
        <v>9.1175999999999995</v>
      </c>
      <c r="D119" s="40">
        <v>279.23</v>
      </c>
      <c r="E119" s="40">
        <v>580.35</v>
      </c>
      <c r="F119" s="40">
        <v>14.2</v>
      </c>
      <c r="G119" s="40">
        <v>2384196</v>
      </c>
      <c r="H119" s="40">
        <v>8.8800000000000008</v>
      </c>
      <c r="I119" s="40">
        <v>9.5625</v>
      </c>
      <c r="J119" s="40">
        <v>681.38</v>
      </c>
      <c r="K119" s="40">
        <v>1470.35</v>
      </c>
      <c r="L119" s="40">
        <v>10.9</v>
      </c>
      <c r="M119" s="40">
        <v>158742</v>
      </c>
    </row>
    <row r="120" spans="1:13" x14ac:dyDescent="0.6">
      <c r="A120" s="41">
        <v>32813</v>
      </c>
      <c r="B120" s="40">
        <v>7.8780000000000001</v>
      </c>
      <c r="C120" s="40">
        <v>8.6829999999999998</v>
      </c>
      <c r="D120" s="40">
        <v>273.93</v>
      </c>
      <c r="E120" s="40">
        <v>570.9</v>
      </c>
      <c r="F120" s="40">
        <v>14.2</v>
      </c>
      <c r="G120" s="40">
        <v>2353859</v>
      </c>
      <c r="H120" s="40">
        <v>8.9429999999999996</v>
      </c>
      <c r="I120" s="40">
        <v>10.3125</v>
      </c>
      <c r="J120" s="40">
        <v>641.54</v>
      </c>
      <c r="K120" s="40">
        <v>1387.87</v>
      </c>
      <c r="L120" s="40">
        <v>10.3</v>
      </c>
      <c r="M120" s="40">
        <v>150039</v>
      </c>
    </row>
    <row r="121" spans="1:13" x14ac:dyDescent="0.6">
      <c r="A121" s="41">
        <v>32843</v>
      </c>
      <c r="B121" s="40">
        <v>7.8120000000000003</v>
      </c>
      <c r="C121" s="40">
        <v>8.3681999999999999</v>
      </c>
      <c r="D121" s="40">
        <v>282.11</v>
      </c>
      <c r="E121" s="40">
        <v>589.55999999999995</v>
      </c>
      <c r="F121" s="40">
        <v>14.6</v>
      </c>
      <c r="G121" s="40">
        <v>2427669</v>
      </c>
      <c r="H121" s="40">
        <v>9.0609999999999999</v>
      </c>
      <c r="I121" s="40">
        <v>10.625</v>
      </c>
      <c r="J121" s="40">
        <v>674.8</v>
      </c>
      <c r="K121" s="40">
        <v>1463.62</v>
      </c>
      <c r="L121" s="40">
        <v>11.1</v>
      </c>
      <c r="M121" s="40">
        <v>159905</v>
      </c>
    </row>
    <row r="122" spans="1:13" x14ac:dyDescent="0.6">
      <c r="A122" s="41">
        <v>32874</v>
      </c>
      <c r="B122" s="40">
        <v>7.9290000000000003</v>
      </c>
      <c r="C122" s="40">
        <v>8.3061000000000007</v>
      </c>
      <c r="D122" s="40">
        <v>283.97000000000003</v>
      </c>
      <c r="E122" s="40">
        <v>595.02</v>
      </c>
      <c r="F122" s="40">
        <v>14.7</v>
      </c>
      <c r="G122" s="40">
        <v>2450522</v>
      </c>
      <c r="H122" s="40">
        <v>9.3450000000000006</v>
      </c>
      <c r="I122" s="40">
        <v>11.375</v>
      </c>
      <c r="J122" s="40">
        <v>705.96</v>
      </c>
      <c r="K122" s="40">
        <v>1534.78</v>
      </c>
      <c r="L122" s="40">
        <v>11.5</v>
      </c>
      <c r="M122" s="40">
        <v>168418</v>
      </c>
    </row>
    <row r="123" spans="1:13" x14ac:dyDescent="0.6">
      <c r="A123" s="41">
        <v>32905</v>
      </c>
      <c r="B123" s="40">
        <v>8.4139999999999997</v>
      </c>
      <c r="C123" s="40">
        <v>8.3379999999999992</v>
      </c>
      <c r="D123" s="40">
        <v>263.11</v>
      </c>
      <c r="E123" s="40">
        <v>552.92999999999995</v>
      </c>
      <c r="F123" s="40">
        <v>13.7</v>
      </c>
      <c r="G123" s="40">
        <v>2271549</v>
      </c>
      <c r="H123" s="40">
        <v>9.6340000000000003</v>
      </c>
      <c r="I123" s="40">
        <v>10.9375</v>
      </c>
      <c r="J123" s="40">
        <v>669.53</v>
      </c>
      <c r="K123" s="40">
        <v>1459.33</v>
      </c>
      <c r="L123" s="40">
        <v>10.9</v>
      </c>
      <c r="M123" s="40">
        <v>160608</v>
      </c>
    </row>
    <row r="124" spans="1:13" x14ac:dyDescent="0.6">
      <c r="A124" s="41">
        <v>32933</v>
      </c>
      <c r="B124" s="40">
        <v>8.5890000000000004</v>
      </c>
      <c r="C124" s="40">
        <v>8.3699999999999992</v>
      </c>
      <c r="D124" s="40">
        <v>265.37</v>
      </c>
      <c r="E124" s="40">
        <v>559.16999999999996</v>
      </c>
      <c r="F124" s="40">
        <v>13.8</v>
      </c>
      <c r="G124" s="40">
        <v>2294721</v>
      </c>
      <c r="H124" s="40">
        <v>10.25</v>
      </c>
      <c r="I124" s="40">
        <v>10.8125</v>
      </c>
      <c r="J124" s="40">
        <v>647.12</v>
      </c>
      <c r="K124" s="40">
        <v>1413.76</v>
      </c>
      <c r="L124" s="40">
        <v>10.5</v>
      </c>
      <c r="M124" s="40">
        <v>155672</v>
      </c>
    </row>
    <row r="125" spans="1:13" x14ac:dyDescent="0.6">
      <c r="A125" s="41">
        <v>32964</v>
      </c>
      <c r="B125" s="40">
        <v>8.6440000000000001</v>
      </c>
      <c r="C125" s="40">
        <v>8.4949999999999992</v>
      </c>
      <c r="D125" s="40">
        <v>272.05</v>
      </c>
      <c r="E125" s="40">
        <v>574.89</v>
      </c>
      <c r="F125" s="40">
        <v>14.1</v>
      </c>
      <c r="G125" s="40">
        <v>2353081</v>
      </c>
      <c r="H125" s="40">
        <v>9.5120000000000005</v>
      </c>
      <c r="I125" s="40">
        <v>10.0625</v>
      </c>
      <c r="J125" s="40">
        <v>680.35</v>
      </c>
      <c r="K125" s="40">
        <v>1490.07</v>
      </c>
      <c r="L125" s="40">
        <v>11</v>
      </c>
      <c r="M125" s="40">
        <v>164414</v>
      </c>
    </row>
    <row r="126" spans="1:13" x14ac:dyDescent="0.6">
      <c r="A126" s="41">
        <v>32994</v>
      </c>
      <c r="B126" s="40">
        <v>9.0660000000000007</v>
      </c>
      <c r="C126" s="40">
        <v>8.6199999999999992</v>
      </c>
      <c r="D126" s="40">
        <v>269.35000000000002</v>
      </c>
      <c r="E126" s="40">
        <v>570.75</v>
      </c>
      <c r="F126" s="40">
        <v>14.2</v>
      </c>
      <c r="G126" s="40">
        <v>2330649</v>
      </c>
      <c r="H126" s="40">
        <v>9.6609999999999996</v>
      </c>
      <c r="I126" s="40">
        <v>9.75</v>
      </c>
      <c r="J126" s="40">
        <v>717.08</v>
      </c>
      <c r="K126" s="40">
        <v>1574.02</v>
      </c>
      <c r="L126" s="40">
        <v>11.5</v>
      </c>
      <c r="M126" s="40">
        <v>173696</v>
      </c>
    </row>
    <row r="127" spans="1:13" x14ac:dyDescent="0.6">
      <c r="A127" s="41">
        <v>33025</v>
      </c>
      <c r="B127" s="40">
        <v>8.452</v>
      </c>
      <c r="C127" s="40">
        <v>8.2449999999999992</v>
      </c>
      <c r="D127" s="40">
        <v>294.69</v>
      </c>
      <c r="E127" s="40">
        <v>626.26</v>
      </c>
      <c r="F127" s="40">
        <v>15.7</v>
      </c>
      <c r="G127" s="40">
        <v>2553364</v>
      </c>
      <c r="H127" s="40">
        <v>9.6869999999999994</v>
      </c>
      <c r="I127" s="40">
        <v>9.9375</v>
      </c>
      <c r="J127" s="40">
        <v>733.09</v>
      </c>
      <c r="K127" s="40">
        <v>1613.04</v>
      </c>
      <c r="L127" s="40">
        <v>11.8</v>
      </c>
      <c r="M127" s="40">
        <v>178063</v>
      </c>
    </row>
    <row r="128" spans="1:13" x14ac:dyDescent="0.6">
      <c r="A128" s="41">
        <v>33055</v>
      </c>
      <c r="B128" s="40">
        <v>8.4220000000000006</v>
      </c>
      <c r="C128" s="40">
        <v>8.2449999999999992</v>
      </c>
      <c r="D128" s="40">
        <v>294.93</v>
      </c>
      <c r="E128" s="40">
        <v>628.39</v>
      </c>
      <c r="F128" s="40">
        <v>15.8</v>
      </c>
      <c r="G128" s="40">
        <v>2551796</v>
      </c>
      <c r="H128" s="40">
        <v>9.6069999999999993</v>
      </c>
      <c r="I128" s="40">
        <v>10</v>
      </c>
      <c r="J128" s="40">
        <v>713.23</v>
      </c>
      <c r="K128" s="40">
        <v>1572.92</v>
      </c>
      <c r="L128" s="40">
        <v>11.7</v>
      </c>
      <c r="M128" s="40">
        <v>174118</v>
      </c>
    </row>
    <row r="129" spans="1:13" x14ac:dyDescent="0.6">
      <c r="A129" s="41">
        <v>33086</v>
      </c>
      <c r="B129" s="40">
        <v>8.2780000000000005</v>
      </c>
      <c r="C129" s="40">
        <v>7.87</v>
      </c>
      <c r="D129" s="40">
        <v>292.55</v>
      </c>
      <c r="E129" s="40">
        <v>624.99</v>
      </c>
      <c r="F129" s="40">
        <v>15.5</v>
      </c>
      <c r="G129" s="40">
        <v>2530819</v>
      </c>
      <c r="H129" s="40">
        <v>9.52</v>
      </c>
      <c r="I129" s="40">
        <v>9.8125</v>
      </c>
      <c r="J129" s="40">
        <v>693.5</v>
      </c>
      <c r="K129" s="40">
        <v>1533.23</v>
      </c>
      <c r="L129" s="40">
        <v>10.4</v>
      </c>
      <c r="M129" s="40">
        <v>170867</v>
      </c>
    </row>
    <row r="130" spans="1:13" x14ac:dyDescent="0.6">
      <c r="A130" s="41">
        <v>33117</v>
      </c>
      <c r="B130" s="40">
        <v>8.8439999999999994</v>
      </c>
      <c r="C130" s="40">
        <v>7.9349999999999996</v>
      </c>
      <c r="D130" s="40">
        <v>266.19</v>
      </c>
      <c r="E130" s="40">
        <v>570.42999999999995</v>
      </c>
      <c r="F130" s="40">
        <v>14</v>
      </c>
      <c r="G130" s="40">
        <v>2303675</v>
      </c>
      <c r="H130" s="40">
        <v>10.39</v>
      </c>
      <c r="I130" s="40">
        <v>10.3125</v>
      </c>
      <c r="J130" s="40">
        <v>590.82000000000005</v>
      </c>
      <c r="K130" s="40">
        <v>1310.23</v>
      </c>
      <c r="L130" s="40">
        <v>8.9</v>
      </c>
      <c r="M130" s="40">
        <v>147276</v>
      </c>
    </row>
    <row r="131" spans="1:13" x14ac:dyDescent="0.6">
      <c r="A131" s="41">
        <v>33147</v>
      </c>
      <c r="B131" s="40">
        <v>8.7100000000000009</v>
      </c>
      <c r="C131" s="40">
        <v>8.06</v>
      </c>
      <c r="D131" s="40">
        <v>261.67</v>
      </c>
      <c r="E131" s="40">
        <v>562.30999999999995</v>
      </c>
      <c r="F131" s="40">
        <v>13.8</v>
      </c>
      <c r="G131" s="40">
        <v>2265822</v>
      </c>
      <c r="H131" s="40">
        <v>10.53</v>
      </c>
      <c r="I131" s="40">
        <v>10.25</v>
      </c>
      <c r="J131" s="40">
        <v>553.41999999999996</v>
      </c>
      <c r="K131" s="40">
        <v>1230.8599999999999</v>
      </c>
      <c r="L131" s="40">
        <v>8.5</v>
      </c>
      <c r="M131" s="40">
        <v>138170</v>
      </c>
    </row>
    <row r="132" spans="1:13" x14ac:dyDescent="0.6">
      <c r="A132" s="41">
        <v>33178</v>
      </c>
      <c r="B132" s="40">
        <v>8.5570000000000004</v>
      </c>
      <c r="C132" s="40">
        <v>7.9950000000000001</v>
      </c>
      <c r="D132" s="40">
        <v>257.36</v>
      </c>
      <c r="E132" s="40">
        <v>554.86</v>
      </c>
      <c r="F132" s="40">
        <v>13.5</v>
      </c>
      <c r="G132" s="40">
        <v>2229334</v>
      </c>
      <c r="H132" s="40">
        <v>10.33</v>
      </c>
      <c r="I132" s="40">
        <v>9.875</v>
      </c>
      <c r="J132" s="40">
        <v>578.04999999999995</v>
      </c>
      <c r="K132" s="40">
        <v>1289.9000000000001</v>
      </c>
      <c r="L132" s="40">
        <v>9.1</v>
      </c>
      <c r="M132" s="40">
        <v>146060</v>
      </c>
    </row>
    <row r="133" spans="1:13" x14ac:dyDescent="0.6">
      <c r="A133" s="41">
        <v>33208</v>
      </c>
      <c r="B133" s="40">
        <v>8.2140000000000004</v>
      </c>
      <c r="C133" s="40">
        <v>8.1549999999999994</v>
      </c>
      <c r="D133" s="40">
        <v>273</v>
      </c>
      <c r="E133" s="40">
        <v>590.38</v>
      </c>
      <c r="F133" s="40">
        <v>14.2</v>
      </c>
      <c r="G133" s="40">
        <v>2365144</v>
      </c>
      <c r="H133" s="40">
        <v>9.9160000000000004</v>
      </c>
      <c r="I133" s="40">
        <v>10</v>
      </c>
      <c r="J133" s="40">
        <v>577.01</v>
      </c>
      <c r="K133" s="40">
        <v>1291.68</v>
      </c>
      <c r="L133" s="40">
        <v>9.3000000000000007</v>
      </c>
      <c r="M133" s="40">
        <v>147177</v>
      </c>
    </row>
    <row r="134" spans="1:13" x14ac:dyDescent="0.6">
      <c r="A134" s="41">
        <v>33239</v>
      </c>
      <c r="B134" s="40">
        <v>8.0730000000000004</v>
      </c>
      <c r="C134" s="40">
        <v>7.4349999999999996</v>
      </c>
      <c r="D134" s="40">
        <v>278.83999999999997</v>
      </c>
      <c r="E134" s="40">
        <v>604.71</v>
      </c>
      <c r="F134" s="40">
        <v>14.5</v>
      </c>
      <c r="G134" s="40">
        <v>2414899</v>
      </c>
      <c r="H134" s="40">
        <v>9.99</v>
      </c>
      <c r="I134" s="40">
        <v>10.125</v>
      </c>
      <c r="J134" s="40">
        <v>547.20000000000005</v>
      </c>
      <c r="K134" s="40">
        <v>1228.6600000000001</v>
      </c>
      <c r="L134" s="40">
        <v>9.1</v>
      </c>
      <c r="M134" s="40">
        <v>140404</v>
      </c>
    </row>
    <row r="135" spans="1:13" x14ac:dyDescent="0.6">
      <c r="A135" s="41">
        <v>33270</v>
      </c>
      <c r="B135" s="40">
        <v>7.9050000000000002</v>
      </c>
      <c r="C135" s="40">
        <v>6.6849999999999996</v>
      </c>
      <c r="D135" s="40">
        <v>289.77999999999997</v>
      </c>
      <c r="E135" s="40">
        <v>630.38</v>
      </c>
      <c r="F135" s="40">
        <v>14.7</v>
      </c>
      <c r="G135" s="40">
        <v>2511747</v>
      </c>
      <c r="H135" s="40">
        <v>9.4540000000000006</v>
      </c>
      <c r="I135" s="40">
        <v>10.125</v>
      </c>
      <c r="J135" s="40">
        <v>561.27</v>
      </c>
      <c r="K135" s="40">
        <v>1264.6600000000001</v>
      </c>
      <c r="L135" s="40">
        <v>9.4</v>
      </c>
      <c r="M135" s="40">
        <v>144322</v>
      </c>
    </row>
    <row r="136" spans="1:13" x14ac:dyDescent="0.6">
      <c r="A136" s="41">
        <v>33298</v>
      </c>
      <c r="B136" s="40">
        <v>8.1199999999999992</v>
      </c>
      <c r="C136" s="40">
        <v>6.81</v>
      </c>
      <c r="D136" s="40">
        <v>314.66000000000003</v>
      </c>
      <c r="E136" s="40">
        <v>686.17</v>
      </c>
      <c r="F136" s="40">
        <v>16.100000000000001</v>
      </c>
      <c r="G136" s="40">
        <v>2742597</v>
      </c>
      <c r="H136" s="40">
        <v>9.0619999999999994</v>
      </c>
      <c r="I136" s="40">
        <v>9.375</v>
      </c>
      <c r="J136" s="40">
        <v>624.52</v>
      </c>
      <c r="K136" s="40">
        <v>1411.11</v>
      </c>
      <c r="L136" s="40">
        <v>10.9</v>
      </c>
      <c r="M136" s="40">
        <v>161786</v>
      </c>
    </row>
    <row r="137" spans="1:13" x14ac:dyDescent="0.6">
      <c r="A137" s="41">
        <v>33329</v>
      </c>
      <c r="B137" s="40">
        <v>8.0440000000000005</v>
      </c>
      <c r="C137" s="40">
        <v>6.31</v>
      </c>
      <c r="D137" s="40">
        <v>319.2</v>
      </c>
      <c r="E137" s="40">
        <v>697.78</v>
      </c>
      <c r="F137" s="40">
        <v>16.3</v>
      </c>
      <c r="G137" s="40">
        <v>2789133</v>
      </c>
      <c r="H137" s="40">
        <v>9.0790000000000006</v>
      </c>
      <c r="I137" s="40">
        <v>9.375</v>
      </c>
      <c r="J137" s="40">
        <v>643.14</v>
      </c>
      <c r="K137" s="40">
        <v>1457.14</v>
      </c>
      <c r="L137" s="40">
        <v>11.9</v>
      </c>
      <c r="M137" s="40">
        <v>166671</v>
      </c>
    </row>
    <row r="138" spans="1:13" x14ac:dyDescent="0.6">
      <c r="A138" s="41">
        <v>33359</v>
      </c>
      <c r="B138" s="40">
        <v>8.0489999999999995</v>
      </c>
      <c r="C138" s="40">
        <v>5.9950000000000001</v>
      </c>
      <c r="D138" s="40">
        <v>325.22000000000003</v>
      </c>
      <c r="E138" s="40">
        <v>712.7</v>
      </c>
      <c r="F138" s="40">
        <v>16.5</v>
      </c>
      <c r="G138" s="40">
        <v>2867445</v>
      </c>
      <c r="H138" s="40">
        <v>8.8119999999999994</v>
      </c>
      <c r="I138" s="40">
        <v>9.1875</v>
      </c>
      <c r="J138" s="40">
        <v>636.59</v>
      </c>
      <c r="K138" s="40">
        <v>1446.39</v>
      </c>
      <c r="L138" s="40">
        <v>11.9</v>
      </c>
      <c r="M138" s="40">
        <v>165376</v>
      </c>
    </row>
    <row r="139" spans="1:13" x14ac:dyDescent="0.6">
      <c r="A139" s="41">
        <v>33390</v>
      </c>
      <c r="B139" s="40">
        <v>8.1240000000000006</v>
      </c>
      <c r="C139" s="40">
        <v>6.06</v>
      </c>
      <c r="D139" s="40">
        <v>330.22</v>
      </c>
      <c r="E139" s="40">
        <v>725.56</v>
      </c>
      <c r="F139" s="40">
        <v>16.8</v>
      </c>
      <c r="G139" s="40">
        <v>2914211</v>
      </c>
      <c r="H139" s="40">
        <v>8.9570000000000007</v>
      </c>
      <c r="I139" s="40">
        <v>9.4375</v>
      </c>
      <c r="J139" s="40">
        <v>658.92</v>
      </c>
      <c r="K139" s="40">
        <v>1501.53</v>
      </c>
      <c r="L139" s="40">
        <v>12.2</v>
      </c>
      <c r="M139" s="40">
        <v>171620</v>
      </c>
    </row>
    <row r="140" spans="1:13" x14ac:dyDescent="0.6">
      <c r="A140" s="41">
        <v>33420</v>
      </c>
      <c r="B140" s="40">
        <v>8.2520000000000007</v>
      </c>
      <c r="C140" s="40">
        <v>6.12</v>
      </c>
      <c r="D140" s="40">
        <v>322.33</v>
      </c>
      <c r="E140" s="40">
        <v>709.86</v>
      </c>
      <c r="F140" s="40">
        <v>16.399999999999999</v>
      </c>
      <c r="G140" s="40">
        <v>2851990</v>
      </c>
      <c r="H140" s="40">
        <v>9.09</v>
      </c>
      <c r="I140" s="40">
        <v>9.625</v>
      </c>
      <c r="J140" s="40">
        <v>626.88</v>
      </c>
      <c r="K140" s="40">
        <v>1432.24</v>
      </c>
      <c r="L140" s="40">
        <v>11.7</v>
      </c>
      <c r="M140" s="40">
        <v>164086</v>
      </c>
    </row>
    <row r="141" spans="1:13" x14ac:dyDescent="0.6">
      <c r="A141" s="41">
        <v>33451</v>
      </c>
      <c r="B141" s="40">
        <v>8.1579999999999995</v>
      </c>
      <c r="C141" s="40">
        <v>5.9349999999999996</v>
      </c>
      <c r="D141" s="40">
        <v>332.58</v>
      </c>
      <c r="E141" s="40">
        <v>734.36</v>
      </c>
      <c r="F141" s="40">
        <v>17</v>
      </c>
      <c r="G141" s="40">
        <v>2944116</v>
      </c>
      <c r="H141" s="40">
        <v>9.2260000000000009</v>
      </c>
      <c r="I141" s="40">
        <v>9.625</v>
      </c>
      <c r="J141" s="40">
        <v>627.99</v>
      </c>
      <c r="K141" s="40">
        <v>1439.46</v>
      </c>
      <c r="L141" s="40">
        <v>10.6</v>
      </c>
      <c r="M141" s="40">
        <v>167559</v>
      </c>
    </row>
    <row r="142" spans="1:13" x14ac:dyDescent="0.6">
      <c r="A142" s="41">
        <v>33482</v>
      </c>
      <c r="B142" s="40">
        <v>7.81</v>
      </c>
      <c r="C142" s="40">
        <v>5.6849999999999996</v>
      </c>
      <c r="D142" s="40">
        <v>343.42</v>
      </c>
      <c r="E142" s="40">
        <v>760.14</v>
      </c>
      <c r="F142" s="40">
        <v>17.5</v>
      </c>
      <c r="G142" s="40">
        <v>3047080</v>
      </c>
      <c r="H142" s="40">
        <v>8.9390000000000001</v>
      </c>
      <c r="I142" s="40">
        <v>9.375</v>
      </c>
      <c r="J142" s="40">
        <v>659.77</v>
      </c>
      <c r="K142" s="40">
        <v>1516.98</v>
      </c>
      <c r="L142" s="40">
        <v>11.1</v>
      </c>
      <c r="M142" s="40">
        <v>177136</v>
      </c>
    </row>
    <row r="143" spans="1:13" x14ac:dyDescent="0.6">
      <c r="A143" s="41">
        <v>33512</v>
      </c>
      <c r="B143" s="40">
        <v>7.44</v>
      </c>
      <c r="C143" s="40">
        <v>5.56</v>
      </c>
      <c r="D143" s="40">
        <v>339.17</v>
      </c>
      <c r="E143" s="40">
        <v>752.51</v>
      </c>
      <c r="F143" s="40">
        <v>17.3</v>
      </c>
      <c r="G143" s="40">
        <v>3011830</v>
      </c>
      <c r="H143" s="40">
        <v>8.8140000000000001</v>
      </c>
      <c r="I143" s="40">
        <v>9.5</v>
      </c>
      <c r="J143" s="40">
        <v>674.58</v>
      </c>
      <c r="K143" s="40">
        <v>1555.41</v>
      </c>
      <c r="L143" s="40">
        <v>11.2</v>
      </c>
      <c r="M143" s="40">
        <v>181641</v>
      </c>
    </row>
    <row r="144" spans="1:13" x14ac:dyDescent="0.6">
      <c r="A144" s="41">
        <v>33543</v>
      </c>
      <c r="B144" s="40">
        <v>7.4640000000000004</v>
      </c>
      <c r="C144" s="40">
        <v>5.12</v>
      </c>
      <c r="D144" s="40">
        <v>339.9</v>
      </c>
      <c r="E144" s="40">
        <v>756.08</v>
      </c>
      <c r="F144" s="40">
        <v>17.600000000000001</v>
      </c>
      <c r="G144" s="40">
        <v>3020631</v>
      </c>
      <c r="H144" s="40">
        <v>8.7530000000000001</v>
      </c>
      <c r="I144" s="40">
        <v>9.1875</v>
      </c>
      <c r="J144" s="40">
        <v>664.45</v>
      </c>
      <c r="K144" s="40">
        <v>1536.84</v>
      </c>
      <c r="L144" s="40">
        <v>11.2</v>
      </c>
      <c r="M144" s="40">
        <v>179395</v>
      </c>
    </row>
    <row r="145" spans="1:13" x14ac:dyDescent="0.6">
      <c r="A145" s="41">
        <v>33573</v>
      </c>
      <c r="B145" s="40">
        <v>7.3170000000000002</v>
      </c>
      <c r="C145" s="40">
        <v>4.87</v>
      </c>
      <c r="D145" s="40">
        <v>334.97</v>
      </c>
      <c r="E145" s="40">
        <v>746.87</v>
      </c>
      <c r="F145" s="40">
        <v>17.5</v>
      </c>
      <c r="G145" s="40">
        <v>2989183</v>
      </c>
      <c r="H145" s="40">
        <v>8.9960000000000004</v>
      </c>
      <c r="I145" s="40">
        <v>9.8125</v>
      </c>
      <c r="J145" s="40">
        <v>620.49</v>
      </c>
      <c r="K145" s="40">
        <v>1439.31</v>
      </c>
      <c r="L145" s="40">
        <v>10.4</v>
      </c>
      <c r="M145" s="40">
        <v>168119</v>
      </c>
    </row>
    <row r="146" spans="1:13" x14ac:dyDescent="0.6">
      <c r="A146" s="41">
        <v>33604</v>
      </c>
      <c r="B146" s="40">
        <v>6.6980000000000004</v>
      </c>
      <c r="C146" s="40">
        <v>4.12</v>
      </c>
      <c r="D146" s="40">
        <v>370.17</v>
      </c>
      <c r="E146" s="40">
        <v>827.37</v>
      </c>
      <c r="F146" s="40">
        <v>19.3</v>
      </c>
      <c r="G146" s="40">
        <v>3310590</v>
      </c>
      <c r="H146" s="40">
        <v>8.5169999999999995</v>
      </c>
      <c r="I146" s="40">
        <v>10.25</v>
      </c>
      <c r="J146" s="40">
        <v>636.76</v>
      </c>
      <c r="K146" s="40">
        <v>1481.67</v>
      </c>
      <c r="L146" s="40">
        <v>10.9</v>
      </c>
      <c r="M146" s="40">
        <v>176786</v>
      </c>
    </row>
    <row r="147" spans="1:13" x14ac:dyDescent="0.6">
      <c r="A147" s="41">
        <v>33635</v>
      </c>
      <c r="B147" s="40">
        <v>7.3490000000000002</v>
      </c>
      <c r="C147" s="40">
        <v>4.04</v>
      </c>
      <c r="D147" s="40">
        <v>363.97</v>
      </c>
      <c r="E147" s="40">
        <v>815.46</v>
      </c>
      <c r="F147" s="40">
        <v>20.6</v>
      </c>
      <c r="G147" s="40">
        <v>3275601</v>
      </c>
      <c r="H147" s="40">
        <v>8.4239999999999995</v>
      </c>
      <c r="I147" s="40">
        <v>10.0625</v>
      </c>
      <c r="J147" s="40">
        <v>669.03</v>
      </c>
      <c r="K147" s="40">
        <v>1561.49</v>
      </c>
      <c r="L147" s="40">
        <v>11.8</v>
      </c>
      <c r="M147" s="40">
        <v>186665</v>
      </c>
    </row>
    <row r="148" spans="1:13" x14ac:dyDescent="0.6">
      <c r="A148" s="41">
        <v>33664</v>
      </c>
      <c r="B148" s="40">
        <v>7.37</v>
      </c>
      <c r="C148" s="40">
        <v>4.1849999999999996</v>
      </c>
      <c r="D148" s="40">
        <v>365.37</v>
      </c>
      <c r="E148" s="40">
        <v>820.31</v>
      </c>
      <c r="F148" s="40">
        <v>20.5</v>
      </c>
      <c r="G148" s="40">
        <v>3294193</v>
      </c>
      <c r="H148" s="40">
        <v>8.407</v>
      </c>
      <c r="I148" s="40">
        <v>10</v>
      </c>
      <c r="J148" s="40">
        <v>708.19</v>
      </c>
      <c r="K148" s="40">
        <v>1657.11</v>
      </c>
      <c r="L148" s="40">
        <v>12.7</v>
      </c>
      <c r="M148" s="40">
        <v>198416</v>
      </c>
    </row>
    <row r="149" spans="1:13" x14ac:dyDescent="0.6">
      <c r="A149" s="41">
        <v>33695</v>
      </c>
      <c r="B149" s="40">
        <v>7.4429999999999996</v>
      </c>
      <c r="C149" s="40">
        <v>4.1849999999999996</v>
      </c>
      <c r="D149" s="40">
        <v>359.46</v>
      </c>
      <c r="E149" s="40">
        <v>808.93</v>
      </c>
      <c r="F149" s="40">
        <v>20.100000000000001</v>
      </c>
      <c r="G149" s="40">
        <v>3247326</v>
      </c>
      <c r="H149" s="40">
        <v>8.7270000000000003</v>
      </c>
      <c r="I149" s="40">
        <v>10.0625</v>
      </c>
      <c r="J149" s="40">
        <v>699.26</v>
      </c>
      <c r="K149" s="40">
        <v>1640.71</v>
      </c>
      <c r="L149" s="40">
        <v>12.7</v>
      </c>
      <c r="M149" s="40">
        <v>195982</v>
      </c>
    </row>
    <row r="150" spans="1:13" x14ac:dyDescent="0.6">
      <c r="A150" s="41">
        <v>33725</v>
      </c>
      <c r="B150" s="40">
        <v>7.5410000000000004</v>
      </c>
      <c r="C150" s="40">
        <v>3.9350000000000001</v>
      </c>
      <c r="D150" s="40">
        <v>364.23</v>
      </c>
      <c r="E150" s="40">
        <v>821.61</v>
      </c>
      <c r="F150" s="40">
        <v>20</v>
      </c>
      <c r="G150" s="40">
        <v>3299351</v>
      </c>
      <c r="H150" s="40">
        <v>8.7439999999999998</v>
      </c>
      <c r="I150" s="40">
        <v>10.0625</v>
      </c>
      <c r="J150" s="40">
        <v>732.6</v>
      </c>
      <c r="K150" s="40">
        <v>1723.56</v>
      </c>
      <c r="L150" s="40">
        <v>13.5</v>
      </c>
      <c r="M150" s="40">
        <v>206020</v>
      </c>
    </row>
    <row r="151" spans="1:13" x14ac:dyDescent="0.6">
      <c r="A151" s="41">
        <v>33756</v>
      </c>
      <c r="B151" s="40">
        <v>7.3780000000000001</v>
      </c>
      <c r="C151" s="40">
        <v>3.9950000000000001</v>
      </c>
      <c r="D151" s="40">
        <v>369.68</v>
      </c>
      <c r="E151" s="40">
        <v>835.77</v>
      </c>
      <c r="F151" s="40">
        <v>20.3</v>
      </c>
      <c r="G151" s="40">
        <v>3357734</v>
      </c>
      <c r="H151" s="40">
        <v>8.5129999999999999</v>
      </c>
      <c r="I151" s="40">
        <v>9.9375</v>
      </c>
      <c r="J151" s="40">
        <v>730.71</v>
      </c>
      <c r="K151" s="40">
        <v>1723.45</v>
      </c>
      <c r="L151" s="40">
        <v>11.8</v>
      </c>
      <c r="M151" s="40">
        <v>206744</v>
      </c>
    </row>
    <row r="152" spans="1:13" x14ac:dyDescent="0.6">
      <c r="A152" s="41">
        <v>33786</v>
      </c>
      <c r="B152" s="40">
        <v>7.0890000000000004</v>
      </c>
      <c r="C152" s="40">
        <v>3.81</v>
      </c>
      <c r="D152" s="40">
        <v>363.88</v>
      </c>
      <c r="E152" s="40">
        <v>824.64</v>
      </c>
      <c r="F152" s="40">
        <v>20</v>
      </c>
      <c r="G152" s="40">
        <v>3311319</v>
      </c>
      <c r="H152" s="40">
        <v>8.8000000000000007</v>
      </c>
      <c r="I152" s="40">
        <v>10.0625</v>
      </c>
      <c r="J152" s="40">
        <v>686.51</v>
      </c>
      <c r="K152" s="40">
        <v>1624.03</v>
      </c>
      <c r="L152" s="40">
        <v>10.6</v>
      </c>
      <c r="M152" s="40">
        <v>195391</v>
      </c>
    </row>
    <row r="153" spans="1:13" x14ac:dyDescent="0.6">
      <c r="A153" s="41">
        <v>33817</v>
      </c>
      <c r="B153" s="40">
        <v>6.7060000000000004</v>
      </c>
      <c r="C153" s="40">
        <v>3.4350000000000001</v>
      </c>
      <c r="D153" s="40">
        <v>377.66</v>
      </c>
      <c r="E153" s="40">
        <v>857.95</v>
      </c>
      <c r="F153" s="40">
        <v>20.2</v>
      </c>
      <c r="G153" s="40">
        <v>3436553</v>
      </c>
      <c r="H153" s="40">
        <v>9.1379999999999999</v>
      </c>
      <c r="I153" s="40">
        <v>10.3125</v>
      </c>
      <c r="J153" s="40">
        <v>655.01</v>
      </c>
      <c r="K153" s="40">
        <v>1554.68</v>
      </c>
      <c r="L153" s="40">
        <v>10.5</v>
      </c>
      <c r="M153" s="40">
        <v>188747</v>
      </c>
    </row>
    <row r="154" spans="1:13" x14ac:dyDescent="0.6">
      <c r="A154" s="41">
        <v>33848</v>
      </c>
      <c r="B154" s="40">
        <v>6.5529999999999999</v>
      </c>
      <c r="C154" s="40">
        <v>3.4950000000000001</v>
      </c>
      <c r="D154" s="40">
        <v>371.72</v>
      </c>
      <c r="E154" s="40">
        <v>846.34</v>
      </c>
      <c r="F154" s="40">
        <v>19.8</v>
      </c>
      <c r="G154" s="40">
        <v>3383564</v>
      </c>
      <c r="H154" s="40">
        <v>9.1349999999999998</v>
      </c>
      <c r="I154" s="40">
        <v>10.5</v>
      </c>
      <c r="J154" s="40">
        <v>623.28</v>
      </c>
      <c r="K154" s="40">
        <v>1484.08</v>
      </c>
      <c r="L154" s="40">
        <v>10.1</v>
      </c>
      <c r="M154" s="40">
        <v>181483</v>
      </c>
    </row>
    <row r="155" spans="1:13" x14ac:dyDescent="0.6">
      <c r="A155" s="41">
        <v>33878</v>
      </c>
      <c r="B155" s="40">
        <v>6.2169999999999996</v>
      </c>
      <c r="C155" s="40">
        <v>3.12</v>
      </c>
      <c r="D155" s="40">
        <v>372.88</v>
      </c>
      <c r="E155" s="40">
        <v>850.97</v>
      </c>
      <c r="F155" s="40">
        <v>19.899999999999999</v>
      </c>
      <c r="G155" s="40">
        <v>3392378</v>
      </c>
      <c r="H155" s="40">
        <v>8.641</v>
      </c>
      <c r="I155" s="40">
        <v>12.5</v>
      </c>
      <c r="J155" s="40">
        <v>631.26</v>
      </c>
      <c r="K155" s="40">
        <v>1507.9</v>
      </c>
      <c r="L155" s="40">
        <v>11.2</v>
      </c>
      <c r="M155" s="40">
        <v>184175</v>
      </c>
    </row>
    <row r="156" spans="1:13" x14ac:dyDescent="0.6">
      <c r="A156" s="41">
        <v>33909</v>
      </c>
      <c r="B156" s="40">
        <v>6.859</v>
      </c>
      <c r="C156" s="40">
        <v>3.6349999999999998</v>
      </c>
      <c r="D156" s="40">
        <v>379.24</v>
      </c>
      <c r="E156" s="40">
        <v>867.56</v>
      </c>
      <c r="F156" s="40">
        <v>19.2</v>
      </c>
      <c r="G156" s="40">
        <v>3454770</v>
      </c>
      <c r="H156" s="40">
        <v>8.1790000000000003</v>
      </c>
      <c r="I156" s="40">
        <v>9.8125</v>
      </c>
      <c r="J156" s="40">
        <v>628.79</v>
      </c>
      <c r="K156" s="40">
        <v>1507.05</v>
      </c>
      <c r="L156" s="40">
        <v>11.8</v>
      </c>
      <c r="M156" s="40">
        <v>183789</v>
      </c>
    </row>
    <row r="157" spans="1:13" x14ac:dyDescent="0.6">
      <c r="A157" s="41">
        <v>33939</v>
      </c>
      <c r="B157" s="40">
        <v>6.9169999999999998</v>
      </c>
      <c r="C157" s="40">
        <v>3.9049999999999998</v>
      </c>
      <c r="D157" s="40">
        <v>388.19</v>
      </c>
      <c r="E157" s="40">
        <v>889.98</v>
      </c>
      <c r="F157" s="40">
        <v>19.7</v>
      </c>
      <c r="G157" s="40">
        <v>3539119</v>
      </c>
      <c r="H157" s="40">
        <v>8.2490000000000006</v>
      </c>
      <c r="I157" s="40">
        <v>10.75</v>
      </c>
      <c r="J157" s="40">
        <v>645.5</v>
      </c>
      <c r="K157" s="40">
        <v>1551.88</v>
      </c>
      <c r="L157" s="40">
        <v>12.4</v>
      </c>
      <c r="M157" s="40">
        <v>188840</v>
      </c>
    </row>
    <row r="158" spans="1:13" x14ac:dyDescent="0.6">
      <c r="A158" s="41">
        <v>33970</v>
      </c>
      <c r="B158" s="40">
        <v>6.6849999999999996</v>
      </c>
      <c r="C158" s="40">
        <v>3.37</v>
      </c>
      <c r="D158" s="40">
        <v>391.63</v>
      </c>
      <c r="E158" s="40">
        <v>900.01</v>
      </c>
      <c r="F158" s="40">
        <v>19.899999999999999</v>
      </c>
      <c r="G158" s="40">
        <v>3573433</v>
      </c>
      <c r="H158" s="40">
        <v>8.0429999999999993</v>
      </c>
      <c r="I158" s="40">
        <v>11.5</v>
      </c>
      <c r="J158" s="40">
        <v>663.06</v>
      </c>
      <c r="K158" s="40">
        <v>1599.36</v>
      </c>
      <c r="L158" s="40">
        <v>13</v>
      </c>
      <c r="M158" s="40">
        <v>194722</v>
      </c>
    </row>
    <row r="159" spans="1:13" x14ac:dyDescent="0.6">
      <c r="A159" s="41">
        <v>34001</v>
      </c>
      <c r="B159" s="40">
        <v>6.3559999999999999</v>
      </c>
      <c r="C159" s="40">
        <v>3.12</v>
      </c>
      <c r="D159" s="40">
        <v>394.55</v>
      </c>
      <c r="E159" s="40">
        <v>908.69</v>
      </c>
      <c r="F159" s="40">
        <v>19.399999999999999</v>
      </c>
      <c r="G159" s="40">
        <v>3602198</v>
      </c>
      <c r="H159" s="40">
        <v>7.9640000000000004</v>
      </c>
      <c r="I159" s="40">
        <v>12.5</v>
      </c>
      <c r="J159" s="40">
        <v>647.42999999999995</v>
      </c>
      <c r="K159" s="40">
        <v>1566.28</v>
      </c>
      <c r="L159" s="40">
        <v>13.3</v>
      </c>
      <c r="M159" s="40">
        <v>195023</v>
      </c>
    </row>
    <row r="160" spans="1:13" x14ac:dyDescent="0.6">
      <c r="A160" s="41">
        <v>34029</v>
      </c>
      <c r="B160" s="40">
        <v>5.9370000000000003</v>
      </c>
      <c r="C160" s="40">
        <v>3.15</v>
      </c>
      <c r="D160" s="40">
        <v>391.57</v>
      </c>
      <c r="E160" s="40">
        <v>903.68</v>
      </c>
      <c r="F160" s="40">
        <v>19.5</v>
      </c>
      <c r="G160" s="40">
        <v>3584019</v>
      </c>
      <c r="H160" s="40">
        <v>7.4989999999999997</v>
      </c>
      <c r="I160" s="40">
        <v>11.6875</v>
      </c>
      <c r="J160" s="40">
        <v>720.2</v>
      </c>
      <c r="K160" s="40">
        <v>1746.98</v>
      </c>
      <c r="L160" s="40">
        <v>15.5</v>
      </c>
      <c r="M160" s="40">
        <v>217256</v>
      </c>
    </row>
    <row r="161" spans="1:13" x14ac:dyDescent="0.6">
      <c r="A161" s="41">
        <v>34060</v>
      </c>
      <c r="B161" s="40">
        <v>6.0469999999999997</v>
      </c>
      <c r="C161" s="40">
        <v>3.1850000000000001</v>
      </c>
      <c r="D161" s="40">
        <v>397.65</v>
      </c>
      <c r="E161" s="40">
        <v>919.83</v>
      </c>
      <c r="F161" s="40">
        <v>19.7</v>
      </c>
      <c r="G161" s="40">
        <v>3647690</v>
      </c>
      <c r="H161" s="40">
        <v>7.2359999999999998</v>
      </c>
      <c r="I161" s="40">
        <v>10</v>
      </c>
      <c r="J161" s="40">
        <v>731.63</v>
      </c>
      <c r="K161" s="40">
        <v>1779.95</v>
      </c>
      <c r="L161" s="40">
        <v>14.6</v>
      </c>
      <c r="M161" s="40">
        <v>222422</v>
      </c>
    </row>
    <row r="162" spans="1:13" x14ac:dyDescent="0.6">
      <c r="A162" s="41">
        <v>34090</v>
      </c>
      <c r="B162" s="40">
        <v>5.9480000000000004</v>
      </c>
      <c r="C162" s="40">
        <v>3.125</v>
      </c>
      <c r="D162" s="40">
        <v>384.91</v>
      </c>
      <c r="E162" s="40">
        <v>892.42</v>
      </c>
      <c r="F162" s="40">
        <v>18.8</v>
      </c>
      <c r="G162" s="40">
        <v>3538580</v>
      </c>
      <c r="H162" s="40">
        <v>7.1829999999999998</v>
      </c>
      <c r="I162" s="40">
        <v>7.875</v>
      </c>
      <c r="J162" s="40">
        <v>712.18</v>
      </c>
      <c r="K162" s="40">
        <v>1737.67</v>
      </c>
      <c r="L162" s="40">
        <v>13.2</v>
      </c>
      <c r="M162" s="40">
        <v>216580</v>
      </c>
    </row>
    <row r="163" spans="1:13" x14ac:dyDescent="0.6">
      <c r="A163" s="41">
        <v>34121</v>
      </c>
      <c r="B163" s="40">
        <v>6.056</v>
      </c>
      <c r="C163" s="40">
        <v>3.125</v>
      </c>
      <c r="D163" s="40">
        <v>395.04</v>
      </c>
      <c r="E163" s="40">
        <v>917.9</v>
      </c>
      <c r="F163" s="40">
        <v>19.2</v>
      </c>
      <c r="G163" s="40">
        <v>3642075</v>
      </c>
      <c r="H163" s="40">
        <v>7.2729999999999997</v>
      </c>
      <c r="I163" s="40">
        <v>7.6875</v>
      </c>
      <c r="J163" s="40">
        <v>694.75</v>
      </c>
      <c r="K163" s="40">
        <v>1700.04</v>
      </c>
      <c r="L163" s="40">
        <v>13.1</v>
      </c>
      <c r="M163" s="40">
        <v>211418</v>
      </c>
    </row>
    <row r="164" spans="1:13" x14ac:dyDescent="0.6">
      <c r="A164" s="41">
        <v>34151</v>
      </c>
      <c r="B164" s="40">
        <v>5.7830000000000004</v>
      </c>
      <c r="C164" s="40">
        <v>3.2450000000000001</v>
      </c>
      <c r="D164" s="40">
        <v>392.15</v>
      </c>
      <c r="E164" s="40">
        <v>913.27</v>
      </c>
      <c r="F164" s="40">
        <v>19.100000000000001</v>
      </c>
      <c r="G164" s="40">
        <v>3634616</v>
      </c>
      <c r="H164" s="40">
        <v>6.7240000000000002</v>
      </c>
      <c r="I164" s="40">
        <v>6.9375</v>
      </c>
      <c r="J164" s="40">
        <v>719.82</v>
      </c>
      <c r="K164" s="40">
        <v>1766.43</v>
      </c>
      <c r="L164" s="40">
        <v>14.2</v>
      </c>
      <c r="M164" s="40">
        <v>220444</v>
      </c>
    </row>
    <row r="165" spans="1:13" x14ac:dyDescent="0.6">
      <c r="A165" s="41">
        <v>34182</v>
      </c>
      <c r="B165" s="40">
        <v>5.8310000000000004</v>
      </c>
      <c r="C165" s="40">
        <v>3.2450000000000001</v>
      </c>
      <c r="D165" s="40">
        <v>390.62</v>
      </c>
      <c r="E165" s="40">
        <v>911.79</v>
      </c>
      <c r="F165" s="40">
        <v>19.2</v>
      </c>
      <c r="G165" s="40">
        <v>3619357</v>
      </c>
      <c r="H165" s="40">
        <v>6.45</v>
      </c>
      <c r="I165" s="40">
        <v>7.75</v>
      </c>
      <c r="J165" s="40">
        <v>773.03</v>
      </c>
      <c r="K165" s="40">
        <v>1902.13</v>
      </c>
      <c r="L165" s="40">
        <v>15.2</v>
      </c>
      <c r="M165" s="40">
        <v>238624</v>
      </c>
    </row>
    <row r="166" spans="1:13" x14ac:dyDescent="0.6">
      <c r="A166" s="41">
        <v>34213</v>
      </c>
      <c r="B166" s="40">
        <v>5.4470000000000001</v>
      </c>
      <c r="C166" s="40">
        <v>3.12</v>
      </c>
      <c r="D166" s="40">
        <v>402.49</v>
      </c>
      <c r="E166" s="40">
        <v>941.62</v>
      </c>
      <c r="F166" s="40">
        <v>19.8</v>
      </c>
      <c r="G166" s="40">
        <v>3728865</v>
      </c>
      <c r="H166" s="40">
        <v>6.1379999999999999</v>
      </c>
      <c r="I166" s="40">
        <v>7.375</v>
      </c>
      <c r="J166" s="40">
        <v>804.89</v>
      </c>
      <c r="K166" s="40">
        <v>1985.47</v>
      </c>
      <c r="L166" s="40">
        <v>16.100000000000001</v>
      </c>
      <c r="M166" s="40">
        <v>251584</v>
      </c>
    </row>
    <row r="167" spans="1:13" x14ac:dyDescent="0.6">
      <c r="A167" s="41">
        <v>34243</v>
      </c>
      <c r="B167" s="40">
        <v>5.3230000000000004</v>
      </c>
      <c r="C167" s="40">
        <v>3.2450000000000001</v>
      </c>
      <c r="D167" s="40">
        <v>400.47</v>
      </c>
      <c r="E167" s="40">
        <v>939.01</v>
      </c>
      <c r="F167" s="40">
        <v>19.7</v>
      </c>
      <c r="G167" s="40">
        <v>3723234</v>
      </c>
      <c r="H167" s="40">
        <v>6.0570000000000004</v>
      </c>
      <c r="I167" s="40">
        <v>7.0625</v>
      </c>
      <c r="J167" s="40">
        <v>789.03</v>
      </c>
      <c r="K167" s="40">
        <v>1951.25</v>
      </c>
      <c r="L167" s="40">
        <v>16</v>
      </c>
      <c r="M167" s="40">
        <v>248713</v>
      </c>
    </row>
    <row r="168" spans="1:13" x14ac:dyDescent="0.6">
      <c r="A168" s="41">
        <v>34274</v>
      </c>
      <c r="B168" s="40">
        <v>5.5339999999999998</v>
      </c>
      <c r="C168" s="40">
        <v>3.4375</v>
      </c>
      <c r="D168" s="40">
        <v>410.34</v>
      </c>
      <c r="E168" s="40">
        <v>964.2</v>
      </c>
      <c r="F168" s="40">
        <v>20</v>
      </c>
      <c r="G168" s="40">
        <v>3816179</v>
      </c>
      <c r="H168" s="40">
        <v>5.968</v>
      </c>
      <c r="I168" s="40">
        <v>6.75</v>
      </c>
      <c r="J168" s="40">
        <v>814.92</v>
      </c>
      <c r="K168" s="40">
        <v>2019.91</v>
      </c>
      <c r="L168" s="40">
        <v>16.899999999999999</v>
      </c>
      <c r="M168" s="40">
        <v>264065</v>
      </c>
    </row>
    <row r="169" spans="1:13" x14ac:dyDescent="0.6">
      <c r="A169" s="41">
        <v>34304</v>
      </c>
      <c r="B169" s="40">
        <v>5.7859999999999996</v>
      </c>
      <c r="C169" s="40">
        <v>3.375</v>
      </c>
      <c r="D169" s="40">
        <v>405.29</v>
      </c>
      <c r="E169" s="40">
        <v>954.45</v>
      </c>
      <c r="F169" s="40">
        <v>19.8</v>
      </c>
      <c r="G169" s="40">
        <v>3779118</v>
      </c>
      <c r="H169" s="40">
        <v>6.0039999999999996</v>
      </c>
      <c r="I169" s="40">
        <v>6.5625</v>
      </c>
      <c r="J169" s="40">
        <v>809.32</v>
      </c>
      <c r="K169" s="40">
        <v>2010.88</v>
      </c>
      <c r="L169" s="40">
        <v>17</v>
      </c>
      <c r="M169" s="40">
        <v>264315</v>
      </c>
    </row>
    <row r="170" spans="1:13" x14ac:dyDescent="0.6">
      <c r="A170" s="41">
        <v>34335</v>
      </c>
      <c r="B170" s="40">
        <v>5.89</v>
      </c>
      <c r="C170" s="40">
        <v>3.1850000000000001</v>
      </c>
      <c r="D170" s="40">
        <v>408.69</v>
      </c>
      <c r="E170" s="40">
        <v>964.67</v>
      </c>
      <c r="F170" s="40">
        <v>20</v>
      </c>
      <c r="G170" s="40">
        <v>3837852</v>
      </c>
      <c r="H170" s="40">
        <v>5.6219999999999999</v>
      </c>
      <c r="I170" s="40">
        <v>6.3125</v>
      </c>
      <c r="J170" s="40">
        <v>870.74</v>
      </c>
      <c r="K170" s="40">
        <v>2168.69</v>
      </c>
      <c r="L170" s="40">
        <v>18.7</v>
      </c>
      <c r="M170" s="40">
        <v>287833</v>
      </c>
    </row>
    <row r="171" spans="1:13" x14ac:dyDescent="0.6">
      <c r="A171" s="41">
        <v>34366</v>
      </c>
      <c r="B171" s="40">
        <v>5.7240000000000002</v>
      </c>
      <c r="C171" s="40">
        <v>3.2450000000000001</v>
      </c>
      <c r="D171" s="40">
        <v>419.31</v>
      </c>
      <c r="E171" s="40">
        <v>991.81</v>
      </c>
      <c r="F171" s="40">
        <v>20.399999999999999</v>
      </c>
      <c r="G171" s="40">
        <v>3943273</v>
      </c>
      <c r="H171" s="40">
        <v>5.694</v>
      </c>
      <c r="I171" s="40">
        <v>6.25</v>
      </c>
      <c r="J171" s="40">
        <v>900.14</v>
      </c>
      <c r="K171" s="40">
        <v>2246.9699999999998</v>
      </c>
      <c r="L171" s="40">
        <v>15.8</v>
      </c>
      <c r="M171" s="40">
        <v>300018</v>
      </c>
    </row>
    <row r="172" spans="1:13" x14ac:dyDescent="0.6">
      <c r="A172" s="41">
        <v>34394</v>
      </c>
      <c r="B172" s="40">
        <v>6.2789999999999999</v>
      </c>
      <c r="C172" s="40">
        <v>3.6850000000000001</v>
      </c>
      <c r="D172" s="40">
        <v>407.96</v>
      </c>
      <c r="E172" s="40">
        <v>966.92</v>
      </c>
      <c r="F172" s="40">
        <v>19.5</v>
      </c>
      <c r="G172" s="40">
        <v>3845256</v>
      </c>
      <c r="H172" s="40">
        <v>6.2869999999999999</v>
      </c>
      <c r="I172" s="40">
        <v>6.1875</v>
      </c>
      <c r="J172" s="40">
        <v>847.77</v>
      </c>
      <c r="K172" s="40">
        <v>2120.85</v>
      </c>
      <c r="L172" s="40">
        <v>15.1</v>
      </c>
      <c r="M172" s="40">
        <v>283914</v>
      </c>
    </row>
    <row r="173" spans="1:13" x14ac:dyDescent="0.6">
      <c r="A173" s="41">
        <v>34425</v>
      </c>
      <c r="B173" s="40">
        <v>6.7590000000000003</v>
      </c>
      <c r="C173" s="40">
        <v>3.87</v>
      </c>
      <c r="D173" s="40">
        <v>391.04</v>
      </c>
      <c r="E173" s="40">
        <v>929</v>
      </c>
      <c r="F173" s="40">
        <v>18.600000000000001</v>
      </c>
      <c r="G173" s="40">
        <v>3689364</v>
      </c>
      <c r="H173" s="40">
        <v>6.4459999999999997</v>
      </c>
      <c r="I173" s="40">
        <v>6.1875</v>
      </c>
      <c r="J173" s="40">
        <v>813.57</v>
      </c>
      <c r="K173" s="40">
        <v>2040.5</v>
      </c>
      <c r="L173" s="40">
        <v>14.5</v>
      </c>
      <c r="M173" s="40">
        <v>274848</v>
      </c>
    </row>
    <row r="174" spans="1:13" x14ac:dyDescent="0.6">
      <c r="A174" s="41">
        <v>34455</v>
      </c>
      <c r="B174" s="40">
        <v>7.0759999999999996</v>
      </c>
      <c r="C174" s="40">
        <v>4.3099999999999996</v>
      </c>
      <c r="D174" s="40">
        <v>398.5</v>
      </c>
      <c r="E174" s="40">
        <v>948.87</v>
      </c>
      <c r="F174" s="40">
        <v>18.3</v>
      </c>
      <c r="G174" s="40">
        <v>3768557</v>
      </c>
      <c r="H174" s="40">
        <v>6.8170000000000002</v>
      </c>
      <c r="I174" s="40">
        <v>5.75</v>
      </c>
      <c r="J174" s="40">
        <v>843.72</v>
      </c>
      <c r="K174" s="40">
        <v>2121.23</v>
      </c>
      <c r="L174" s="40">
        <v>15.1</v>
      </c>
      <c r="M174" s="40">
        <v>285592</v>
      </c>
    </row>
    <row r="175" spans="1:13" x14ac:dyDescent="0.6">
      <c r="A175" s="41">
        <v>34486</v>
      </c>
      <c r="B175" s="40">
        <v>7.1079999999999997</v>
      </c>
      <c r="C175" s="40">
        <v>4.4950000000000001</v>
      </c>
      <c r="D175" s="40">
        <v>398.96</v>
      </c>
      <c r="E175" s="40">
        <v>952.2</v>
      </c>
      <c r="F175" s="40">
        <v>18.3</v>
      </c>
      <c r="G175" s="40">
        <v>3777206</v>
      </c>
      <c r="H175" s="40">
        <v>7.4630000000000001</v>
      </c>
      <c r="I175" s="40">
        <v>5.5625</v>
      </c>
      <c r="J175" s="40">
        <v>771.34</v>
      </c>
      <c r="K175" s="40">
        <v>1944.18</v>
      </c>
      <c r="L175" s="40">
        <v>13.8</v>
      </c>
      <c r="M175" s="40">
        <v>264120</v>
      </c>
    </row>
    <row r="176" spans="1:13" x14ac:dyDescent="0.6">
      <c r="A176" s="41">
        <v>34516</v>
      </c>
      <c r="B176" s="40">
        <v>7.3259999999999996</v>
      </c>
      <c r="C176" s="40">
        <v>4.87</v>
      </c>
      <c r="D176" s="40">
        <v>389.29</v>
      </c>
      <c r="E176" s="40">
        <v>931.29</v>
      </c>
      <c r="F176" s="40">
        <v>17.8</v>
      </c>
      <c r="G176" s="40">
        <v>3697836</v>
      </c>
      <c r="H176" s="40">
        <v>7.5350000000000001</v>
      </c>
      <c r="I176" s="40">
        <v>5.5625</v>
      </c>
      <c r="J176" s="40">
        <v>731.15</v>
      </c>
      <c r="K176" s="40">
        <v>1847.87</v>
      </c>
      <c r="L176" s="40">
        <v>13.2</v>
      </c>
      <c r="M176" s="40">
        <v>253360</v>
      </c>
    </row>
    <row r="177" spans="1:13" x14ac:dyDescent="0.6">
      <c r="A177" s="41">
        <v>34547</v>
      </c>
      <c r="B177" s="40">
        <v>7.1150000000000002</v>
      </c>
      <c r="C177" s="40">
        <v>4.6849999999999996</v>
      </c>
      <c r="D177" s="40">
        <v>401.97</v>
      </c>
      <c r="E177" s="40">
        <v>963.81</v>
      </c>
      <c r="F177" s="40">
        <v>17.7</v>
      </c>
      <c r="G177" s="40">
        <v>3820994</v>
      </c>
      <c r="H177" s="40">
        <v>7.2640000000000002</v>
      </c>
      <c r="I177" s="40">
        <v>5.5</v>
      </c>
      <c r="J177" s="40">
        <v>802.51</v>
      </c>
      <c r="K177" s="40">
        <v>2033.34</v>
      </c>
      <c r="L177" s="40">
        <v>14.5</v>
      </c>
      <c r="M177" s="40">
        <v>279409</v>
      </c>
    </row>
    <row r="178" spans="1:13" x14ac:dyDescent="0.6">
      <c r="A178" s="41">
        <v>34578</v>
      </c>
      <c r="B178" s="40">
        <v>7.1779999999999999</v>
      </c>
      <c r="C178" s="40">
        <v>4.9249999999999998</v>
      </c>
      <c r="D178" s="40">
        <v>415.97</v>
      </c>
      <c r="E178" s="40">
        <v>999.78</v>
      </c>
      <c r="F178" s="40">
        <v>17.7</v>
      </c>
      <c r="G178" s="40">
        <v>3958630</v>
      </c>
      <c r="H178" s="40">
        <v>7.8970000000000002</v>
      </c>
      <c r="I178" s="40">
        <v>5.5625</v>
      </c>
      <c r="J178" s="40">
        <v>790.28</v>
      </c>
      <c r="K178" s="40">
        <v>2007.69</v>
      </c>
      <c r="L178" s="40">
        <v>14.4</v>
      </c>
      <c r="M178" s="40">
        <v>276530</v>
      </c>
    </row>
    <row r="179" spans="1:13" x14ac:dyDescent="0.6">
      <c r="A179" s="41">
        <v>34608</v>
      </c>
      <c r="B179" s="40">
        <v>7.6509999999999998</v>
      </c>
      <c r="C179" s="40">
        <v>5.4349999999999996</v>
      </c>
      <c r="D179" s="40">
        <v>408.31</v>
      </c>
      <c r="E179" s="40">
        <v>983.66</v>
      </c>
      <c r="F179" s="40">
        <v>17.399999999999999</v>
      </c>
      <c r="G179" s="40">
        <v>3900639</v>
      </c>
      <c r="H179" s="40">
        <v>8.2249999999999996</v>
      </c>
      <c r="I179" s="40">
        <v>5.625</v>
      </c>
      <c r="J179" s="40">
        <v>727.73</v>
      </c>
      <c r="K179" s="40">
        <v>1853.76</v>
      </c>
      <c r="L179" s="40">
        <v>13.2</v>
      </c>
      <c r="M179" s="40">
        <v>255687</v>
      </c>
    </row>
    <row r="180" spans="1:13" x14ac:dyDescent="0.6">
      <c r="A180" s="41">
        <v>34639</v>
      </c>
      <c r="B180" s="40">
        <v>7.9</v>
      </c>
      <c r="C180" s="40">
        <v>5.625</v>
      </c>
      <c r="D180" s="40">
        <v>414.61</v>
      </c>
      <c r="E180" s="40">
        <v>1001.06</v>
      </c>
      <c r="F180" s="40">
        <v>16.7</v>
      </c>
      <c r="G180" s="40">
        <v>3972067</v>
      </c>
      <c r="H180" s="40">
        <v>8.2750000000000004</v>
      </c>
      <c r="I180" s="40">
        <v>5.5625</v>
      </c>
      <c r="J180" s="40">
        <v>737.3</v>
      </c>
      <c r="K180" s="40">
        <v>1883.05</v>
      </c>
      <c r="L180" s="40">
        <v>13.4</v>
      </c>
      <c r="M180" s="40">
        <v>261504</v>
      </c>
    </row>
    <row r="181" spans="1:13" x14ac:dyDescent="0.6">
      <c r="A181" s="41">
        <v>34669</v>
      </c>
      <c r="B181" s="40">
        <v>7.92</v>
      </c>
      <c r="C181" s="40">
        <v>6.1849999999999996</v>
      </c>
      <c r="D181" s="40">
        <v>399.98</v>
      </c>
      <c r="E181" s="40">
        <v>967.99</v>
      </c>
      <c r="F181" s="40">
        <v>16</v>
      </c>
      <c r="G181" s="40">
        <v>3833848</v>
      </c>
      <c r="H181" s="40">
        <v>7.8730000000000002</v>
      </c>
      <c r="I181" s="40">
        <v>5.5625</v>
      </c>
      <c r="J181" s="40">
        <v>755.52</v>
      </c>
      <c r="K181" s="40">
        <v>1934.66</v>
      </c>
      <c r="L181" s="40">
        <v>13.6</v>
      </c>
      <c r="M181" s="40">
        <v>275510</v>
      </c>
    </row>
    <row r="182" spans="1:13" x14ac:dyDescent="0.6">
      <c r="A182" s="41">
        <v>34700</v>
      </c>
      <c r="B182" s="40">
        <v>7.835</v>
      </c>
      <c r="C182" s="40">
        <v>6.4249999999999998</v>
      </c>
      <c r="D182" s="40">
        <v>408.85</v>
      </c>
      <c r="E182" s="40">
        <v>991.83</v>
      </c>
      <c r="F182" s="40">
        <v>16.399999999999999</v>
      </c>
      <c r="G182" s="40">
        <v>3922140</v>
      </c>
      <c r="H182" s="40">
        <v>8.2629999999999999</v>
      </c>
      <c r="I182" s="40">
        <v>6</v>
      </c>
      <c r="J182" s="40">
        <v>729.39</v>
      </c>
      <c r="K182" s="40">
        <v>1872.56</v>
      </c>
      <c r="L182" s="40">
        <v>13.1</v>
      </c>
      <c r="M182" s="40">
        <v>269192</v>
      </c>
    </row>
    <row r="183" spans="1:13" x14ac:dyDescent="0.6">
      <c r="A183" s="41">
        <v>34731</v>
      </c>
      <c r="B183" s="40">
        <v>7.6539999999999999</v>
      </c>
      <c r="C183" s="40">
        <v>6.37</v>
      </c>
      <c r="D183" s="40">
        <v>419.01</v>
      </c>
      <c r="E183" s="40">
        <v>1018.88</v>
      </c>
      <c r="F183" s="40">
        <v>15.7</v>
      </c>
      <c r="G183" s="40">
        <v>4027225</v>
      </c>
      <c r="H183" s="40">
        <v>8.0559999999999992</v>
      </c>
      <c r="I183" s="40">
        <v>5.75</v>
      </c>
      <c r="J183" s="40">
        <v>710.37</v>
      </c>
      <c r="K183" s="40">
        <v>1828.7</v>
      </c>
      <c r="L183" s="40">
        <v>12.7</v>
      </c>
      <c r="M183" s="40">
        <v>262374</v>
      </c>
    </row>
    <row r="184" spans="1:13" x14ac:dyDescent="0.6">
      <c r="A184" s="41">
        <v>34759</v>
      </c>
      <c r="B184" s="40">
        <v>7.2270000000000003</v>
      </c>
      <c r="C184" s="40">
        <v>6.1449999999999996</v>
      </c>
      <c r="D184" s="40">
        <v>432.48</v>
      </c>
      <c r="E184" s="40">
        <v>1053.81</v>
      </c>
      <c r="F184" s="40">
        <v>16.2</v>
      </c>
      <c r="G184" s="40">
        <v>4160875</v>
      </c>
      <c r="H184" s="40">
        <v>7.9429999999999996</v>
      </c>
      <c r="I184" s="40">
        <v>5.8125</v>
      </c>
      <c r="J184" s="40">
        <v>707.14</v>
      </c>
      <c r="K184" s="40">
        <v>1824.96</v>
      </c>
      <c r="L184" s="40">
        <v>11.9</v>
      </c>
      <c r="M184" s="40">
        <v>262722</v>
      </c>
    </row>
    <row r="185" spans="1:13" x14ac:dyDescent="0.6">
      <c r="A185" s="41">
        <v>34790</v>
      </c>
      <c r="B185" s="40">
        <v>7.1349999999999998</v>
      </c>
      <c r="C185" s="40">
        <v>6.2450000000000001</v>
      </c>
      <c r="D185" s="40">
        <v>445.91</v>
      </c>
      <c r="E185" s="40">
        <v>1089.0999999999999</v>
      </c>
      <c r="F185" s="40">
        <v>16.7</v>
      </c>
      <c r="G185" s="40">
        <v>4307402</v>
      </c>
      <c r="H185" s="40">
        <v>7.8140000000000001</v>
      </c>
      <c r="I185" s="40">
        <v>7.75</v>
      </c>
      <c r="J185" s="40">
        <v>727.55</v>
      </c>
      <c r="K185" s="40">
        <v>1883.24</v>
      </c>
      <c r="L185" s="40">
        <v>11.2</v>
      </c>
      <c r="M185" s="40">
        <v>270628</v>
      </c>
    </row>
    <row r="186" spans="1:13" x14ac:dyDescent="0.6">
      <c r="A186" s="41">
        <v>34820</v>
      </c>
      <c r="B186" s="40">
        <v>7.0750000000000002</v>
      </c>
      <c r="C186" s="40">
        <v>6.12</v>
      </c>
      <c r="D186" s="40">
        <v>456.95</v>
      </c>
      <c r="E186" s="40">
        <v>1118.31</v>
      </c>
      <c r="F186" s="40">
        <v>16.3</v>
      </c>
      <c r="G186" s="40">
        <v>4412407</v>
      </c>
      <c r="H186" s="40">
        <v>7.7990000000000004</v>
      </c>
      <c r="I186" s="40">
        <v>8</v>
      </c>
      <c r="J186" s="40">
        <v>748.84</v>
      </c>
      <c r="K186" s="40">
        <v>1943.15</v>
      </c>
      <c r="L186" s="40">
        <v>11.5</v>
      </c>
      <c r="M186" s="40">
        <v>278629</v>
      </c>
    </row>
    <row r="187" spans="1:13" x14ac:dyDescent="0.6">
      <c r="A187" s="41">
        <v>34851</v>
      </c>
      <c r="B187" s="40">
        <v>6.1859999999999999</v>
      </c>
      <c r="C187" s="40">
        <v>5.9050000000000002</v>
      </c>
      <c r="D187" s="40">
        <v>474.61</v>
      </c>
      <c r="E187" s="40">
        <v>1164.1300000000001</v>
      </c>
      <c r="F187" s="40">
        <v>16.7</v>
      </c>
      <c r="G187" s="40">
        <v>4582035</v>
      </c>
      <c r="H187" s="40">
        <v>7.3680000000000003</v>
      </c>
      <c r="I187" s="40">
        <v>7.375</v>
      </c>
      <c r="J187" s="40">
        <v>768.47</v>
      </c>
      <c r="K187" s="40">
        <v>1999.66</v>
      </c>
      <c r="L187" s="40">
        <v>11.9</v>
      </c>
      <c r="M187" s="40">
        <v>285951</v>
      </c>
    </row>
    <row r="188" spans="1:13" x14ac:dyDescent="0.6">
      <c r="A188" s="41">
        <v>34881</v>
      </c>
      <c r="B188" s="40">
        <v>6.2</v>
      </c>
      <c r="C188" s="40">
        <v>5.9349999999999996</v>
      </c>
      <c r="D188" s="40">
        <v>487.46</v>
      </c>
      <c r="E188" s="40">
        <v>1198.1600000000001</v>
      </c>
      <c r="F188" s="40">
        <v>17.2</v>
      </c>
      <c r="G188" s="40">
        <v>4717019</v>
      </c>
      <c r="H188" s="40">
        <v>7.6239999999999997</v>
      </c>
      <c r="I188" s="40">
        <v>6.75</v>
      </c>
      <c r="J188" s="40">
        <v>739.29</v>
      </c>
      <c r="K188" s="40">
        <v>1929.01</v>
      </c>
      <c r="L188" s="40">
        <v>11.6</v>
      </c>
      <c r="M188" s="40">
        <v>275734</v>
      </c>
    </row>
    <row r="189" spans="1:13" x14ac:dyDescent="0.6">
      <c r="A189" s="41">
        <v>34912</v>
      </c>
      <c r="B189" s="40">
        <v>6.4870000000000001</v>
      </c>
      <c r="C189" s="40">
        <v>5.8150000000000004</v>
      </c>
      <c r="D189" s="40">
        <v>496.76</v>
      </c>
      <c r="E189" s="40">
        <v>1223.42</v>
      </c>
      <c r="F189" s="40">
        <v>16.8</v>
      </c>
      <c r="G189" s="40">
        <v>4803633</v>
      </c>
      <c r="H189" s="40">
        <v>7.3760000000000003</v>
      </c>
      <c r="I189" s="40">
        <v>6.0625</v>
      </c>
      <c r="J189" s="40">
        <v>755.05</v>
      </c>
      <c r="K189" s="40">
        <v>1975.3</v>
      </c>
      <c r="L189" s="40">
        <v>12</v>
      </c>
      <c r="M189" s="40">
        <v>287188</v>
      </c>
    </row>
    <row r="190" spans="1:13" x14ac:dyDescent="0.6">
      <c r="A190" s="41">
        <v>34943</v>
      </c>
      <c r="B190" s="40">
        <v>6.2149999999999999</v>
      </c>
      <c r="C190" s="40">
        <v>5.7450000000000001</v>
      </c>
      <c r="D190" s="40">
        <v>502</v>
      </c>
      <c r="E190" s="40">
        <v>1239.01</v>
      </c>
      <c r="F190" s="40">
        <v>16.8</v>
      </c>
      <c r="G190" s="40">
        <v>4860149</v>
      </c>
      <c r="H190" s="40">
        <v>7.351</v>
      </c>
      <c r="I190" s="40">
        <v>5.8125</v>
      </c>
      <c r="J190" s="40">
        <v>748.32</v>
      </c>
      <c r="K190" s="40">
        <v>1963.69</v>
      </c>
      <c r="L190" s="40">
        <v>12</v>
      </c>
      <c r="M190" s="40">
        <v>285935</v>
      </c>
    </row>
    <row r="191" spans="1:13" x14ac:dyDescent="0.6">
      <c r="A191" s="41">
        <v>34973</v>
      </c>
      <c r="B191" s="40">
        <v>6.1420000000000003</v>
      </c>
      <c r="C191" s="40">
        <v>5.8049999999999997</v>
      </c>
      <c r="D191" s="40">
        <v>522.47</v>
      </c>
      <c r="E191" s="40">
        <v>1292</v>
      </c>
      <c r="F191" s="40">
        <v>17.5</v>
      </c>
      <c r="G191" s="40">
        <v>5060734</v>
      </c>
      <c r="H191" s="40">
        <v>7.4790000000000001</v>
      </c>
      <c r="I191" s="40">
        <v>6.125</v>
      </c>
      <c r="J191" s="40">
        <v>719.75</v>
      </c>
      <c r="K191" s="40">
        <v>1894.2</v>
      </c>
      <c r="L191" s="40">
        <v>11.8</v>
      </c>
      <c r="M191" s="40">
        <v>275675</v>
      </c>
    </row>
    <row r="192" spans="1:13" x14ac:dyDescent="0.6">
      <c r="A192" s="41">
        <v>35004</v>
      </c>
      <c r="B192" s="40">
        <v>5.96</v>
      </c>
      <c r="C192" s="40">
        <v>5.8049999999999997</v>
      </c>
      <c r="D192" s="40">
        <v>528.05999999999995</v>
      </c>
      <c r="E192" s="40">
        <v>1308.4100000000001</v>
      </c>
      <c r="F192" s="40">
        <v>17.399999999999999</v>
      </c>
      <c r="G192" s="40">
        <v>5140545</v>
      </c>
      <c r="H192" s="40">
        <v>7.2910000000000004</v>
      </c>
      <c r="I192" s="40">
        <v>6.375</v>
      </c>
      <c r="J192" s="40">
        <v>723.53</v>
      </c>
      <c r="K192" s="40">
        <v>1910.03</v>
      </c>
      <c r="L192" s="40">
        <v>12.5</v>
      </c>
      <c r="M192" s="40">
        <v>277957</v>
      </c>
    </row>
    <row r="193" spans="1:13" x14ac:dyDescent="0.6">
      <c r="A193" s="41">
        <v>35034</v>
      </c>
      <c r="B193" s="40">
        <v>5.7089999999999996</v>
      </c>
      <c r="C193" s="40">
        <v>5.6849999999999996</v>
      </c>
      <c r="D193" s="40">
        <v>547.09</v>
      </c>
      <c r="E193" s="40">
        <v>1358.2</v>
      </c>
      <c r="F193" s="40">
        <v>18</v>
      </c>
      <c r="G193" s="40">
        <v>5361487</v>
      </c>
      <c r="H193" s="40">
        <v>6.9320000000000004</v>
      </c>
      <c r="I193" s="40">
        <v>6.5</v>
      </c>
      <c r="J193" s="40">
        <v>723.16</v>
      </c>
      <c r="K193" s="40">
        <v>1914.76</v>
      </c>
      <c r="L193" s="40">
        <v>12.9</v>
      </c>
      <c r="M193" s="40">
        <v>278049</v>
      </c>
    </row>
    <row r="194" spans="1:13" x14ac:dyDescent="0.6">
      <c r="A194" s="41">
        <v>35065</v>
      </c>
      <c r="B194" s="40">
        <v>5.5750000000000002</v>
      </c>
      <c r="C194" s="40">
        <v>5.5049999999999999</v>
      </c>
      <c r="D194" s="40">
        <v>553.82000000000005</v>
      </c>
      <c r="E194" s="40">
        <v>1377.4</v>
      </c>
      <c r="F194" s="40">
        <v>18.2</v>
      </c>
      <c r="G194" s="40">
        <v>5459353</v>
      </c>
      <c r="H194" s="40">
        <v>6.649</v>
      </c>
      <c r="I194" s="40">
        <v>4.9687999999999999</v>
      </c>
      <c r="J194" s="40">
        <v>738.7</v>
      </c>
      <c r="K194" s="40">
        <v>1961.49</v>
      </c>
      <c r="L194" s="40">
        <v>13.2</v>
      </c>
      <c r="M194" s="40">
        <v>285532</v>
      </c>
    </row>
    <row r="195" spans="1:13" x14ac:dyDescent="0.6">
      <c r="A195" s="41">
        <v>35096</v>
      </c>
      <c r="B195" s="40">
        <v>5.61</v>
      </c>
      <c r="C195" s="40">
        <v>5.2549999999999999</v>
      </c>
      <c r="D195" s="40">
        <v>572.66999999999996</v>
      </c>
      <c r="E195" s="40">
        <v>1427.13</v>
      </c>
      <c r="F195" s="40">
        <v>19</v>
      </c>
      <c r="G195" s="40">
        <v>5659623</v>
      </c>
      <c r="H195" s="40">
        <v>6.3689999999999998</v>
      </c>
      <c r="I195" s="40">
        <v>4.3593999999999999</v>
      </c>
      <c r="J195" s="40">
        <v>806.92</v>
      </c>
      <c r="K195" s="40">
        <v>2149.0300000000002</v>
      </c>
      <c r="L195" s="40">
        <v>14.3</v>
      </c>
      <c r="M195" s="40">
        <v>313432</v>
      </c>
    </row>
    <row r="196" spans="1:13" x14ac:dyDescent="0.6">
      <c r="A196" s="41">
        <v>35125</v>
      </c>
      <c r="B196" s="40">
        <v>5.9880000000000004</v>
      </c>
      <c r="C196" s="40">
        <v>5.1849999999999996</v>
      </c>
      <c r="D196" s="40">
        <v>580.74</v>
      </c>
      <c r="E196" s="40">
        <v>1449.77</v>
      </c>
      <c r="F196" s="40">
        <v>19</v>
      </c>
      <c r="G196" s="40">
        <v>5756452</v>
      </c>
      <c r="H196" s="40">
        <v>6.5590000000000002</v>
      </c>
      <c r="I196" s="40">
        <v>4.375</v>
      </c>
      <c r="J196" s="40">
        <v>820.83</v>
      </c>
      <c r="K196" s="40">
        <v>2191.9</v>
      </c>
      <c r="L196" s="40">
        <v>14.8</v>
      </c>
      <c r="M196" s="40">
        <v>320328</v>
      </c>
    </row>
    <row r="197" spans="1:13" x14ac:dyDescent="0.6">
      <c r="A197" s="41">
        <v>35156</v>
      </c>
      <c r="B197" s="40">
        <v>6.3</v>
      </c>
      <c r="C197" s="40">
        <v>5.4</v>
      </c>
      <c r="D197" s="40">
        <v>586.16999999999996</v>
      </c>
      <c r="E197" s="40">
        <v>1465.9</v>
      </c>
      <c r="F197" s="40">
        <v>19.100000000000001</v>
      </c>
      <c r="G197" s="40">
        <v>5826887</v>
      </c>
      <c r="H197" s="40">
        <v>6.5819999999999999</v>
      </c>
      <c r="I197" s="40">
        <v>4.0629999999999997</v>
      </c>
      <c r="J197" s="40">
        <v>841.03</v>
      </c>
      <c r="K197" s="40">
        <v>2251.67</v>
      </c>
      <c r="L197" s="40">
        <v>15.7</v>
      </c>
      <c r="M197" s="40">
        <v>328319</v>
      </c>
    </row>
    <row r="198" spans="1:13" x14ac:dyDescent="0.6">
      <c r="A198" s="41">
        <v>35186</v>
      </c>
      <c r="B198" s="40">
        <v>6.6710000000000003</v>
      </c>
      <c r="C198" s="40">
        <v>5.4</v>
      </c>
      <c r="D198" s="40">
        <v>588.25</v>
      </c>
      <c r="E198" s="40">
        <v>1473.84</v>
      </c>
      <c r="F198" s="40">
        <v>19</v>
      </c>
      <c r="G198" s="40">
        <v>5880344</v>
      </c>
      <c r="H198" s="40">
        <v>6.3920000000000003</v>
      </c>
      <c r="I198" s="40">
        <v>3.7187999999999999</v>
      </c>
      <c r="J198" s="40">
        <v>876.97</v>
      </c>
      <c r="K198" s="40">
        <v>2353.8000000000002</v>
      </c>
      <c r="L198" s="40">
        <v>16.399999999999999</v>
      </c>
      <c r="M198" s="40">
        <v>342756</v>
      </c>
    </row>
    <row r="199" spans="1:13" x14ac:dyDescent="0.6">
      <c r="A199" s="41">
        <v>35217</v>
      </c>
      <c r="B199" s="40">
        <v>6.8620000000000001</v>
      </c>
      <c r="C199" s="40">
        <v>5.4649999999999999</v>
      </c>
      <c r="D199" s="40">
        <v>604.05999999999995</v>
      </c>
      <c r="E199" s="40">
        <v>1516.32</v>
      </c>
      <c r="F199" s="40">
        <v>19.399999999999999</v>
      </c>
      <c r="G199" s="40">
        <v>6048018</v>
      </c>
      <c r="H199" s="40">
        <v>6.5229999999999997</v>
      </c>
      <c r="I199" s="40">
        <v>3.8593999999999999</v>
      </c>
      <c r="J199" s="40">
        <v>874.24</v>
      </c>
      <c r="K199" s="40">
        <v>2353.04</v>
      </c>
      <c r="L199" s="40">
        <v>14</v>
      </c>
      <c r="M199" s="40">
        <v>342201</v>
      </c>
    </row>
    <row r="200" spans="1:13" x14ac:dyDescent="0.6">
      <c r="A200" s="41">
        <v>35247</v>
      </c>
      <c r="B200" s="40">
        <v>6.726</v>
      </c>
      <c r="C200" s="40">
        <v>5.5</v>
      </c>
      <c r="D200" s="40">
        <v>613.65</v>
      </c>
      <c r="E200" s="40">
        <v>1542.91</v>
      </c>
      <c r="F200" s="40">
        <v>19.7</v>
      </c>
      <c r="G200" s="40">
        <v>6154711</v>
      </c>
      <c r="H200" s="40">
        <v>6.51</v>
      </c>
      <c r="I200" s="40">
        <v>3.8593999999999999</v>
      </c>
      <c r="J200" s="40">
        <v>873.32</v>
      </c>
      <c r="K200" s="40">
        <v>2356.46</v>
      </c>
      <c r="L200" s="40">
        <v>14.3</v>
      </c>
      <c r="M200" s="40">
        <v>346981</v>
      </c>
    </row>
    <row r="201" spans="1:13" x14ac:dyDescent="0.6">
      <c r="A201" s="41">
        <v>35278</v>
      </c>
      <c r="B201" s="40">
        <v>6.64</v>
      </c>
      <c r="C201" s="40">
        <v>5.4950000000000001</v>
      </c>
      <c r="D201" s="40">
        <v>592.28</v>
      </c>
      <c r="E201" s="40">
        <v>1492.09</v>
      </c>
      <c r="F201" s="40">
        <v>18.7</v>
      </c>
      <c r="G201" s="40">
        <v>5954666</v>
      </c>
      <c r="H201" s="40">
        <v>6.3559999999999999</v>
      </c>
      <c r="I201" s="40">
        <v>3.7031000000000001</v>
      </c>
      <c r="J201" s="40">
        <v>828.12</v>
      </c>
      <c r="K201" s="40">
        <v>2241.17</v>
      </c>
      <c r="L201" s="40">
        <v>13.6</v>
      </c>
      <c r="M201" s="40">
        <v>331720</v>
      </c>
    </row>
    <row r="202" spans="1:13" x14ac:dyDescent="0.6">
      <c r="A202" s="41">
        <v>35309</v>
      </c>
      <c r="B202" s="40">
        <v>6.9420000000000002</v>
      </c>
      <c r="C202" s="40">
        <v>5.62</v>
      </c>
      <c r="D202" s="40">
        <v>592.46</v>
      </c>
      <c r="E202" s="40">
        <v>1495.3</v>
      </c>
      <c r="F202" s="40">
        <v>18.600000000000001</v>
      </c>
      <c r="G202" s="40">
        <v>5964238</v>
      </c>
      <c r="H202" s="40">
        <v>6.4370000000000003</v>
      </c>
      <c r="I202" s="40">
        <v>3.9687999999999999</v>
      </c>
      <c r="J202" s="40">
        <v>820.55</v>
      </c>
      <c r="K202" s="40">
        <v>2227.1</v>
      </c>
      <c r="L202" s="40">
        <v>13.7</v>
      </c>
      <c r="M202" s="40">
        <v>329828</v>
      </c>
    </row>
    <row r="203" spans="1:13" x14ac:dyDescent="0.6">
      <c r="A203" s="41">
        <v>35339</v>
      </c>
      <c r="B203" s="40">
        <v>6.6349999999999998</v>
      </c>
      <c r="C203" s="40">
        <v>5.55</v>
      </c>
      <c r="D203" s="40">
        <v>628.13</v>
      </c>
      <c r="E203" s="40">
        <v>1588.08</v>
      </c>
      <c r="F203" s="40">
        <v>19.7</v>
      </c>
      <c r="G203" s="40">
        <v>6304677</v>
      </c>
      <c r="H203" s="40">
        <v>6.077</v>
      </c>
      <c r="I203" s="40">
        <v>3.3593999999999999</v>
      </c>
      <c r="J203" s="40">
        <v>868.27</v>
      </c>
      <c r="K203" s="40">
        <v>2362.92</v>
      </c>
      <c r="L203" s="40">
        <v>14.6</v>
      </c>
      <c r="M203" s="40">
        <v>349347</v>
      </c>
    </row>
    <row r="204" spans="1:13" x14ac:dyDescent="0.6">
      <c r="A204" s="41">
        <v>35370</v>
      </c>
      <c r="B204" s="40">
        <v>6.3680000000000003</v>
      </c>
      <c r="C204" s="40">
        <v>5.34</v>
      </c>
      <c r="D204" s="40">
        <v>639.25</v>
      </c>
      <c r="E204" s="40">
        <v>1619.18</v>
      </c>
      <c r="F204" s="40">
        <v>19.7</v>
      </c>
      <c r="G204" s="40">
        <v>6430220</v>
      </c>
      <c r="H204" s="40">
        <v>5.9720000000000004</v>
      </c>
      <c r="I204" s="40">
        <v>3.3906000000000001</v>
      </c>
      <c r="J204" s="40">
        <v>881.05</v>
      </c>
      <c r="K204" s="40">
        <v>2404.48</v>
      </c>
      <c r="L204" s="40">
        <v>15.6</v>
      </c>
      <c r="M204" s="40">
        <v>354826</v>
      </c>
    </row>
    <row r="205" spans="1:13" x14ac:dyDescent="0.6">
      <c r="A205" s="41">
        <v>35400</v>
      </c>
      <c r="B205" s="40">
        <v>6.0620000000000003</v>
      </c>
      <c r="C205" s="40">
        <v>5.43</v>
      </c>
      <c r="D205" s="40">
        <v>684.82</v>
      </c>
      <c r="E205" s="40">
        <v>1737.4</v>
      </c>
      <c r="F205" s="40">
        <v>21.1</v>
      </c>
      <c r="G205" s="40">
        <v>6896775</v>
      </c>
      <c r="H205" s="40">
        <v>5.625</v>
      </c>
      <c r="I205" s="40">
        <v>3.4062999999999999</v>
      </c>
      <c r="J205" s="40">
        <v>946.3</v>
      </c>
      <c r="K205" s="40">
        <v>2588.9</v>
      </c>
      <c r="L205" s="40">
        <v>16.600000000000001</v>
      </c>
      <c r="M205" s="40">
        <v>381557</v>
      </c>
    </row>
    <row r="206" spans="1:13" x14ac:dyDescent="0.6">
      <c r="A206" s="41">
        <v>35431</v>
      </c>
      <c r="B206" s="40">
        <v>6.4169999999999998</v>
      </c>
      <c r="C206" s="40">
        <v>5.4950000000000001</v>
      </c>
      <c r="D206" s="40">
        <v>676.48</v>
      </c>
      <c r="E206" s="40">
        <v>1719.1</v>
      </c>
      <c r="F206" s="40">
        <v>20.8</v>
      </c>
      <c r="G206" s="40">
        <v>6821683</v>
      </c>
      <c r="H206" s="40">
        <v>5.8239999999999998</v>
      </c>
      <c r="I206" s="40">
        <v>3.375</v>
      </c>
      <c r="J206" s="40">
        <v>951.18</v>
      </c>
      <c r="K206" s="40">
        <v>2608.73</v>
      </c>
      <c r="L206" s="40">
        <v>16.7</v>
      </c>
      <c r="M206" s="40">
        <v>383917</v>
      </c>
    </row>
    <row r="207" spans="1:13" x14ac:dyDescent="0.6">
      <c r="A207" s="41">
        <v>35462</v>
      </c>
      <c r="B207" s="40">
        <v>6.4459999999999997</v>
      </c>
      <c r="C207" s="40">
        <v>5.62</v>
      </c>
      <c r="D207" s="40">
        <v>717.59</v>
      </c>
      <c r="E207" s="40">
        <v>1826.68</v>
      </c>
      <c r="F207" s="40">
        <v>21</v>
      </c>
      <c r="G207" s="40">
        <v>7290421</v>
      </c>
      <c r="H207" s="40">
        <v>5.5890000000000004</v>
      </c>
      <c r="I207" s="40">
        <v>3.2187999999999999</v>
      </c>
      <c r="J207" s="40">
        <v>1028.5999999999999</v>
      </c>
      <c r="K207" s="40">
        <v>2828.07</v>
      </c>
      <c r="L207" s="40">
        <v>18</v>
      </c>
      <c r="M207" s="40">
        <v>421782</v>
      </c>
    </row>
    <row r="208" spans="1:13" x14ac:dyDescent="0.6">
      <c r="A208" s="41">
        <v>35490</v>
      </c>
      <c r="B208" s="40">
        <v>6.5679999999999996</v>
      </c>
      <c r="C208" s="40">
        <v>5.56</v>
      </c>
      <c r="D208" s="40">
        <v>727.91</v>
      </c>
      <c r="E208" s="40">
        <v>1855.6</v>
      </c>
      <c r="F208" s="40">
        <v>21.2</v>
      </c>
      <c r="G208" s="40">
        <v>7402610</v>
      </c>
      <c r="H208" s="40">
        <v>5.3719999999999999</v>
      </c>
      <c r="I208" s="40">
        <v>3.29</v>
      </c>
      <c r="J208" s="40">
        <v>1066.67</v>
      </c>
      <c r="K208" s="40">
        <v>2938.64</v>
      </c>
      <c r="L208" s="40">
        <v>18.3</v>
      </c>
      <c r="M208" s="40">
        <v>438410</v>
      </c>
    </row>
    <row r="209" spans="1:13" x14ac:dyDescent="0.6">
      <c r="A209" s="41">
        <v>35521</v>
      </c>
      <c r="B209" s="40">
        <v>6.8869999999999996</v>
      </c>
      <c r="C209" s="40">
        <v>5.7450000000000001</v>
      </c>
      <c r="D209" s="40">
        <v>692.44</v>
      </c>
      <c r="E209" s="40">
        <v>1767.88</v>
      </c>
      <c r="F209" s="40">
        <v>20.100000000000001</v>
      </c>
      <c r="G209" s="40">
        <v>7053094</v>
      </c>
      <c r="H209" s="40">
        <v>5.7409999999999997</v>
      </c>
      <c r="I209" s="40">
        <v>3.3281000000000001</v>
      </c>
      <c r="J209" s="40">
        <v>1057.3800000000001</v>
      </c>
      <c r="K209" s="40">
        <v>2919.07</v>
      </c>
      <c r="L209" s="40">
        <v>18.100000000000001</v>
      </c>
      <c r="M209" s="40">
        <v>435181</v>
      </c>
    </row>
    <row r="210" spans="1:13" x14ac:dyDescent="0.6">
      <c r="A210" s="41">
        <v>35551</v>
      </c>
      <c r="B210" s="40">
        <v>6.6909999999999998</v>
      </c>
      <c r="C210" s="40">
        <v>5.6849999999999996</v>
      </c>
      <c r="D210" s="40">
        <v>727.71</v>
      </c>
      <c r="E210" s="40">
        <v>1861.01</v>
      </c>
      <c r="F210" s="40">
        <v>20.399999999999999</v>
      </c>
      <c r="G210" s="40">
        <v>7445004</v>
      </c>
      <c r="H210" s="40">
        <v>5.7389999999999999</v>
      </c>
      <c r="I210" s="40">
        <v>3.375</v>
      </c>
      <c r="J210" s="40">
        <v>1078.8800000000001</v>
      </c>
      <c r="K210" s="40">
        <v>2985.68</v>
      </c>
      <c r="L210" s="40">
        <v>15.9</v>
      </c>
      <c r="M210" s="40">
        <v>445241</v>
      </c>
    </row>
    <row r="211" spans="1:13" x14ac:dyDescent="0.6">
      <c r="A211" s="41">
        <v>35582</v>
      </c>
      <c r="B211" s="40">
        <v>6.6509999999999998</v>
      </c>
      <c r="C211" s="40">
        <v>5.73</v>
      </c>
      <c r="D211" s="40">
        <v>774.24</v>
      </c>
      <c r="E211" s="40">
        <v>1983.06</v>
      </c>
      <c r="F211" s="40">
        <v>21.5</v>
      </c>
      <c r="G211" s="40">
        <v>7905378</v>
      </c>
      <c r="H211" s="40">
        <v>5.8390000000000004</v>
      </c>
      <c r="I211" s="40">
        <v>3.5312999999999999</v>
      </c>
      <c r="J211" s="40">
        <v>1058.26</v>
      </c>
      <c r="K211" s="40">
        <v>2935.57</v>
      </c>
      <c r="L211" s="40">
        <v>15.7</v>
      </c>
      <c r="M211" s="40">
        <v>438866</v>
      </c>
    </row>
    <row r="212" spans="1:13" x14ac:dyDescent="0.6">
      <c r="A212" s="41">
        <v>35612</v>
      </c>
      <c r="B212" s="40">
        <v>6.4390000000000001</v>
      </c>
      <c r="C212" s="40">
        <v>5.7450000000000001</v>
      </c>
      <c r="D212" s="40">
        <v>812.85</v>
      </c>
      <c r="E212" s="40">
        <v>2084.85</v>
      </c>
      <c r="F212" s="40">
        <v>22.6</v>
      </c>
      <c r="G212" s="40">
        <v>8332152</v>
      </c>
      <c r="H212" s="40">
        <v>5.5780000000000003</v>
      </c>
      <c r="I212" s="40">
        <v>3.3437000000000001</v>
      </c>
      <c r="J212" s="40">
        <v>1177.8599999999999</v>
      </c>
      <c r="K212" s="40">
        <v>3274.48</v>
      </c>
      <c r="L212" s="40">
        <v>17.3</v>
      </c>
      <c r="M212" s="40">
        <v>498406</v>
      </c>
    </row>
    <row r="213" spans="1:13" x14ac:dyDescent="0.6">
      <c r="A213" s="41">
        <v>35643</v>
      </c>
      <c r="B213" s="40">
        <v>6.1950000000000003</v>
      </c>
      <c r="C213" s="40">
        <v>5.59</v>
      </c>
      <c r="D213" s="40">
        <v>864.97</v>
      </c>
      <c r="E213" s="40">
        <v>2221.7600000000002</v>
      </c>
      <c r="F213" s="40">
        <v>23.8</v>
      </c>
      <c r="G213" s="40">
        <v>8931110</v>
      </c>
      <c r="H213" s="40">
        <v>5.4279999999999999</v>
      </c>
      <c r="I213" s="40">
        <v>3.3593000000000002</v>
      </c>
      <c r="J213" s="40">
        <v>1226.24</v>
      </c>
      <c r="K213" s="40">
        <v>3416.65</v>
      </c>
      <c r="L213" s="40">
        <v>17.899999999999999</v>
      </c>
      <c r="M213" s="40">
        <v>522111</v>
      </c>
    </row>
    <row r="214" spans="1:13" x14ac:dyDescent="0.6">
      <c r="A214" s="41">
        <v>35674</v>
      </c>
      <c r="B214" s="40">
        <v>6.3310000000000004</v>
      </c>
      <c r="C214" s="40">
        <v>5.65</v>
      </c>
      <c r="D214" s="40">
        <v>821.21</v>
      </c>
      <c r="E214" s="40">
        <v>2112.19</v>
      </c>
      <c r="F214" s="40">
        <v>22.6</v>
      </c>
      <c r="G214" s="40">
        <v>8539787</v>
      </c>
      <c r="H214" s="40">
        <v>5.5170000000000003</v>
      </c>
      <c r="I214" s="40">
        <v>3.3593000000000002</v>
      </c>
      <c r="J214" s="40">
        <v>1141.77</v>
      </c>
      <c r="K214" s="40">
        <v>3187.88</v>
      </c>
      <c r="L214" s="40">
        <v>16.600000000000001</v>
      </c>
      <c r="M214" s="40">
        <v>487009</v>
      </c>
    </row>
    <row r="215" spans="1:13" x14ac:dyDescent="0.6">
      <c r="A215" s="41">
        <v>35704</v>
      </c>
      <c r="B215" s="40">
        <v>6.0279999999999996</v>
      </c>
      <c r="C215" s="40">
        <v>5.7149999999999999</v>
      </c>
      <c r="D215" s="40">
        <v>870.48</v>
      </c>
      <c r="E215" s="40">
        <v>2242.02</v>
      </c>
      <c r="F215" s="40">
        <v>23.9</v>
      </c>
      <c r="G215" s="40">
        <v>9073086</v>
      </c>
      <c r="H215" s="40">
        <v>5.4649999999999999</v>
      </c>
      <c r="I215" s="40">
        <v>3.3593000000000002</v>
      </c>
      <c r="J215" s="40">
        <v>1218.33</v>
      </c>
      <c r="K215" s="40">
        <v>3409.01</v>
      </c>
      <c r="L215" s="40">
        <v>17.7</v>
      </c>
      <c r="M215" s="40">
        <v>520272</v>
      </c>
    </row>
    <row r="216" spans="1:13" x14ac:dyDescent="0.6">
      <c r="A216" s="41">
        <v>35735</v>
      </c>
      <c r="B216" s="40">
        <v>5.8920000000000003</v>
      </c>
      <c r="C216" s="40">
        <v>5.7149999999999999</v>
      </c>
      <c r="D216" s="40">
        <v>858.55</v>
      </c>
      <c r="E216" s="40">
        <v>2214.48</v>
      </c>
      <c r="F216" s="40">
        <v>23.1</v>
      </c>
      <c r="G216" s="40">
        <v>8951402</v>
      </c>
      <c r="H216" s="40">
        <v>5.6479999999999997</v>
      </c>
      <c r="I216" s="40">
        <v>3.625</v>
      </c>
      <c r="J216" s="40">
        <v>1126.96</v>
      </c>
      <c r="K216" s="40">
        <v>3160.43</v>
      </c>
      <c r="L216" s="40">
        <v>16.7</v>
      </c>
      <c r="M216" s="40">
        <v>509468</v>
      </c>
    </row>
    <row r="217" spans="1:13" x14ac:dyDescent="0.6">
      <c r="A217" s="41">
        <v>35765</v>
      </c>
      <c r="B217" s="40">
        <v>5.8490000000000002</v>
      </c>
      <c r="C217" s="40">
        <v>5.84</v>
      </c>
      <c r="D217" s="40">
        <v>894.41</v>
      </c>
      <c r="E217" s="40">
        <v>2309.88</v>
      </c>
      <c r="F217" s="40">
        <v>24</v>
      </c>
      <c r="G217" s="40">
        <v>9362345</v>
      </c>
      <c r="H217" s="40">
        <v>5.4450000000000003</v>
      </c>
      <c r="I217" s="40">
        <v>3.6406000000000001</v>
      </c>
      <c r="J217" s="40">
        <v>1174.67</v>
      </c>
      <c r="K217" s="40">
        <v>3300.78</v>
      </c>
      <c r="L217" s="40">
        <v>17.399999999999999</v>
      </c>
      <c r="M217" s="40">
        <v>532924</v>
      </c>
    </row>
    <row r="218" spans="1:13" x14ac:dyDescent="0.6">
      <c r="A218" s="41">
        <v>35796</v>
      </c>
      <c r="B218" s="40">
        <v>5.7380000000000004</v>
      </c>
      <c r="C218" s="40">
        <v>5.6849999999999996</v>
      </c>
      <c r="D218" s="40">
        <v>898.2</v>
      </c>
      <c r="E218" s="40">
        <v>2322.9699999999998</v>
      </c>
      <c r="F218" s="40">
        <v>24.1</v>
      </c>
      <c r="G218" s="40">
        <v>9436459</v>
      </c>
      <c r="H218" s="40">
        <v>5.3339999999999996</v>
      </c>
      <c r="I218" s="40">
        <v>3.6406000000000001</v>
      </c>
      <c r="J218" s="40">
        <v>1210.73</v>
      </c>
      <c r="K218" s="40">
        <v>3409.58</v>
      </c>
      <c r="L218" s="40">
        <v>17.899999999999999</v>
      </c>
      <c r="M218" s="40">
        <v>551266</v>
      </c>
    </row>
    <row r="219" spans="1:13" x14ac:dyDescent="0.6">
      <c r="A219" s="41">
        <v>35827</v>
      </c>
      <c r="B219" s="40">
        <v>5.5570000000000004</v>
      </c>
      <c r="C219" s="40">
        <v>5.53</v>
      </c>
      <c r="D219" s="40">
        <v>921.3</v>
      </c>
      <c r="E219" s="40">
        <v>2385.94</v>
      </c>
      <c r="F219" s="40">
        <v>24.6</v>
      </c>
      <c r="G219" s="40">
        <v>9717202</v>
      </c>
      <c r="H219" s="40">
        <v>5.0650000000000004</v>
      </c>
      <c r="I219" s="40">
        <v>3.5312999999999999</v>
      </c>
      <c r="J219" s="40">
        <v>1286.05</v>
      </c>
      <c r="K219" s="40">
        <v>3629.65</v>
      </c>
      <c r="L219" s="40">
        <v>17.7</v>
      </c>
      <c r="M219" s="40">
        <v>591372</v>
      </c>
    </row>
    <row r="220" spans="1:13" x14ac:dyDescent="0.6">
      <c r="A220" s="41">
        <v>35855</v>
      </c>
      <c r="B220" s="40">
        <v>5.7140000000000004</v>
      </c>
      <c r="C220" s="40">
        <v>5.625</v>
      </c>
      <c r="D220" s="40">
        <v>963.94</v>
      </c>
      <c r="E220" s="40">
        <v>2499.29</v>
      </c>
      <c r="F220" s="40">
        <v>25.8</v>
      </c>
      <c r="G220" s="40">
        <v>10180400</v>
      </c>
      <c r="H220" s="40">
        <v>4.9480000000000004</v>
      </c>
      <c r="I220" s="40">
        <v>3.9375</v>
      </c>
      <c r="J220" s="40">
        <v>1391.05</v>
      </c>
      <c r="K220" s="40">
        <v>3933.41</v>
      </c>
      <c r="L220" s="40">
        <v>19.399999999999999</v>
      </c>
      <c r="M220" s="40">
        <v>639843</v>
      </c>
    </row>
    <row r="221" spans="1:13" x14ac:dyDescent="0.6">
      <c r="A221" s="41">
        <v>35886</v>
      </c>
      <c r="B221" s="40">
        <v>5.609</v>
      </c>
      <c r="C221" s="40">
        <v>5.66</v>
      </c>
      <c r="D221" s="40">
        <v>1019.91</v>
      </c>
      <c r="E221" s="40">
        <v>2647.72</v>
      </c>
      <c r="F221" s="40">
        <v>27.4</v>
      </c>
      <c r="G221" s="40">
        <v>10830270</v>
      </c>
      <c r="H221" s="40">
        <v>4.9720000000000004</v>
      </c>
      <c r="I221" s="40">
        <v>3.5937000000000001</v>
      </c>
      <c r="J221" s="40">
        <v>1554.82</v>
      </c>
      <c r="K221" s="40">
        <v>4404.7299999999996</v>
      </c>
      <c r="L221" s="40">
        <v>22</v>
      </c>
      <c r="M221" s="40">
        <v>717521</v>
      </c>
    </row>
    <row r="222" spans="1:13" x14ac:dyDescent="0.6">
      <c r="A222" s="41">
        <v>35916</v>
      </c>
      <c r="B222" s="40">
        <v>5.66</v>
      </c>
      <c r="C222" s="40">
        <v>5.66</v>
      </c>
      <c r="D222" s="40">
        <v>1023.18</v>
      </c>
      <c r="E222" s="40">
        <v>2659.44</v>
      </c>
      <c r="F222" s="40">
        <v>27.3</v>
      </c>
      <c r="G222" s="40">
        <v>10886800</v>
      </c>
      <c r="H222" s="40">
        <v>5.048</v>
      </c>
      <c r="I222" s="40">
        <v>3.5781000000000001</v>
      </c>
      <c r="J222" s="40">
        <v>1561.11</v>
      </c>
      <c r="K222" s="40">
        <v>4431.34</v>
      </c>
      <c r="L222" s="40">
        <v>18.5</v>
      </c>
      <c r="M222" s="40">
        <v>721212</v>
      </c>
    </row>
    <row r="223" spans="1:13" x14ac:dyDescent="0.6">
      <c r="A223" s="41">
        <v>35947</v>
      </c>
      <c r="B223" s="40">
        <v>5.5227000000000004</v>
      </c>
      <c r="C223" s="40">
        <v>5.62</v>
      </c>
      <c r="D223" s="40">
        <v>995.61</v>
      </c>
      <c r="E223" s="40">
        <v>2590.83</v>
      </c>
      <c r="F223" s="40">
        <v>26.5</v>
      </c>
      <c r="G223" s="40">
        <v>10643640</v>
      </c>
      <c r="H223" s="40">
        <v>4.9290000000000003</v>
      </c>
      <c r="I223" s="40">
        <v>3.5468999999999999</v>
      </c>
      <c r="J223" s="40">
        <v>1637.86</v>
      </c>
      <c r="K223" s="40">
        <v>4657.8500000000004</v>
      </c>
      <c r="L223" s="40">
        <v>19.399999999999999</v>
      </c>
      <c r="M223" s="40">
        <v>756803</v>
      </c>
    </row>
    <row r="224" spans="1:13" x14ac:dyDescent="0.6">
      <c r="A224" s="41">
        <v>35977</v>
      </c>
      <c r="B224" s="40">
        <v>5.4279999999999999</v>
      </c>
      <c r="C224" s="40">
        <v>5.65</v>
      </c>
      <c r="D224" s="40">
        <v>1050.07</v>
      </c>
      <c r="E224" s="40">
        <v>2735.93</v>
      </c>
      <c r="F224" s="40">
        <v>27.8</v>
      </c>
      <c r="G224" s="40">
        <v>11294520</v>
      </c>
      <c r="H224" s="40">
        <v>4.843</v>
      </c>
      <c r="I224" s="40">
        <v>3.9218000000000002</v>
      </c>
      <c r="J224" s="40">
        <v>1707.79</v>
      </c>
      <c r="K224" s="40">
        <v>4865.8900000000003</v>
      </c>
      <c r="L224" s="40">
        <v>20.2</v>
      </c>
      <c r="M224" s="40">
        <v>809530</v>
      </c>
    </row>
    <row r="225" spans="1:13" x14ac:dyDescent="0.6">
      <c r="A225" s="41">
        <v>36008</v>
      </c>
      <c r="B225" s="40">
        <v>5.4470000000000001</v>
      </c>
      <c r="C225" s="40">
        <v>5.62</v>
      </c>
      <c r="D225" s="40">
        <v>1010.82</v>
      </c>
      <c r="E225" s="40">
        <v>2636.96</v>
      </c>
      <c r="F225" s="40">
        <v>26.3</v>
      </c>
      <c r="G225" s="40">
        <v>10921690</v>
      </c>
      <c r="H225" s="40">
        <v>4.7240000000000002</v>
      </c>
      <c r="I225" s="40">
        <v>3.5312999999999999</v>
      </c>
      <c r="J225" s="40">
        <v>1638.18</v>
      </c>
      <c r="K225" s="40">
        <v>4676.51</v>
      </c>
      <c r="L225" s="40">
        <v>19.399999999999999</v>
      </c>
      <c r="M225" s="40">
        <v>786290</v>
      </c>
    </row>
    <row r="226" spans="1:13" x14ac:dyDescent="0.6">
      <c r="A226" s="41">
        <v>36039</v>
      </c>
      <c r="B226" s="40">
        <v>5.0430000000000001</v>
      </c>
      <c r="C226" s="40">
        <v>5.5312999999999999</v>
      </c>
      <c r="D226" s="40">
        <v>903.33</v>
      </c>
      <c r="E226" s="40">
        <v>2359.4899999999998</v>
      </c>
      <c r="F226" s="40">
        <v>23.3</v>
      </c>
      <c r="G226" s="40">
        <v>9814994</v>
      </c>
      <c r="H226" s="40">
        <v>4.3609999999999998</v>
      </c>
      <c r="I226" s="40">
        <v>3.5156000000000001</v>
      </c>
      <c r="J226" s="40">
        <v>1458.77</v>
      </c>
      <c r="K226" s="40">
        <v>4172.2700000000004</v>
      </c>
      <c r="L226" s="40">
        <v>17.399999999999999</v>
      </c>
      <c r="M226" s="40">
        <v>701529</v>
      </c>
    </row>
    <row r="227" spans="1:13" x14ac:dyDescent="0.6">
      <c r="A227" s="41">
        <v>36069</v>
      </c>
      <c r="B227" s="40">
        <v>4.2990000000000004</v>
      </c>
      <c r="C227" s="40">
        <v>5.2450000000000001</v>
      </c>
      <c r="D227" s="40">
        <v>894.26</v>
      </c>
      <c r="E227" s="40">
        <v>2339.06</v>
      </c>
      <c r="F227" s="40">
        <v>23.2</v>
      </c>
      <c r="G227" s="40">
        <v>9765261</v>
      </c>
      <c r="H227" s="40">
        <v>3.968</v>
      </c>
      <c r="I227" s="40">
        <v>3.5</v>
      </c>
      <c r="J227" s="40">
        <v>1236.0999999999999</v>
      </c>
      <c r="K227" s="40">
        <v>3543.33</v>
      </c>
      <c r="L227" s="40">
        <v>14.8</v>
      </c>
      <c r="M227" s="40">
        <v>598623</v>
      </c>
    </row>
    <row r="228" spans="1:13" x14ac:dyDescent="0.6">
      <c r="A228" s="41">
        <v>36100</v>
      </c>
      <c r="B228" s="40">
        <v>4.7519999999999998</v>
      </c>
      <c r="C228" s="40">
        <v>5.2149999999999999</v>
      </c>
      <c r="D228" s="40">
        <v>1018.82</v>
      </c>
      <c r="E228" s="40">
        <v>2668.51</v>
      </c>
      <c r="F228" s="40">
        <v>25.4</v>
      </c>
      <c r="G228" s="40">
        <v>11255110</v>
      </c>
      <c r="H228" s="40">
        <v>4.33</v>
      </c>
      <c r="I228" s="40">
        <v>3.4843000000000002</v>
      </c>
      <c r="J228" s="40">
        <v>1436.56</v>
      </c>
      <c r="K228" s="40">
        <v>4127.63</v>
      </c>
      <c r="L228" s="40">
        <v>18</v>
      </c>
      <c r="M228" s="40">
        <v>696080</v>
      </c>
    </row>
    <row r="229" spans="1:13" x14ac:dyDescent="0.6">
      <c r="A229" s="41">
        <v>36130</v>
      </c>
      <c r="B229" s="40">
        <v>4.6609999999999996</v>
      </c>
      <c r="C229" s="40">
        <v>5.28</v>
      </c>
      <c r="D229" s="40">
        <v>1074.69</v>
      </c>
      <c r="E229" s="40">
        <v>2818.16</v>
      </c>
      <c r="F229" s="40">
        <v>26.7</v>
      </c>
      <c r="G229" s="40">
        <v>11895700</v>
      </c>
      <c r="H229" s="40">
        <v>4</v>
      </c>
      <c r="I229" s="40">
        <v>3.5312999999999999</v>
      </c>
      <c r="J229" s="40">
        <v>1475.59</v>
      </c>
      <c r="K229" s="40">
        <v>4248.3100000000004</v>
      </c>
      <c r="L229" s="40">
        <v>18.5</v>
      </c>
      <c r="M229" s="40">
        <v>714602</v>
      </c>
    </row>
    <row r="230" spans="1:13" x14ac:dyDescent="0.6">
      <c r="A230" s="41">
        <v>36161</v>
      </c>
      <c r="B230" s="40">
        <v>4.6473000000000004</v>
      </c>
      <c r="C230" s="40">
        <v>5</v>
      </c>
      <c r="D230" s="40">
        <v>1127.17</v>
      </c>
      <c r="E230" s="40">
        <v>2959.47</v>
      </c>
      <c r="F230" s="40">
        <v>27.9</v>
      </c>
      <c r="G230" s="40">
        <v>12504130</v>
      </c>
      <c r="H230" s="40">
        <v>3.9022000000000001</v>
      </c>
      <c r="I230" s="40">
        <v>3.2343000000000002</v>
      </c>
      <c r="J230" s="40">
        <v>1561.63</v>
      </c>
      <c r="K230" s="40">
        <v>4505.7700000000004</v>
      </c>
      <c r="L230" s="40">
        <v>19.899999999999999</v>
      </c>
      <c r="M230" s="40">
        <v>756401</v>
      </c>
    </row>
    <row r="231" spans="1:13" x14ac:dyDescent="0.6">
      <c r="A231" s="41">
        <v>36192</v>
      </c>
      <c r="B231" s="40">
        <v>4.7464000000000004</v>
      </c>
      <c r="C231" s="40">
        <v>4.91</v>
      </c>
      <c r="D231" s="40">
        <v>1159.5999999999999</v>
      </c>
      <c r="E231" s="40">
        <v>3047.97</v>
      </c>
      <c r="F231" s="40">
        <v>28.9</v>
      </c>
      <c r="G231" s="40">
        <v>12933100</v>
      </c>
      <c r="H231" s="40">
        <v>3.7473000000000001</v>
      </c>
      <c r="I231" s="40">
        <v>3.0625</v>
      </c>
      <c r="J231" s="40">
        <v>1686.42</v>
      </c>
      <c r="K231" s="40">
        <v>4874.6899999999996</v>
      </c>
      <c r="L231" s="40">
        <v>21.6</v>
      </c>
      <c r="M231" s="40">
        <v>818828</v>
      </c>
    </row>
    <row r="232" spans="1:13" x14ac:dyDescent="0.6">
      <c r="A232" s="41">
        <v>36220</v>
      </c>
      <c r="B232" s="40">
        <v>5.3891999999999998</v>
      </c>
      <c r="C232" s="40">
        <v>4.9649999999999999</v>
      </c>
      <c r="D232" s="40">
        <v>1122.21</v>
      </c>
      <c r="E232" s="40">
        <v>2952.83</v>
      </c>
      <c r="F232" s="40">
        <v>28</v>
      </c>
      <c r="G232" s="40">
        <v>12556260</v>
      </c>
      <c r="H232" s="40">
        <v>4.1460999999999997</v>
      </c>
      <c r="I232" s="40">
        <v>3.0781000000000001</v>
      </c>
      <c r="J232" s="40">
        <v>1592.97</v>
      </c>
      <c r="K232" s="40">
        <v>4612.5600000000004</v>
      </c>
      <c r="L232" s="40">
        <v>20.399999999999999</v>
      </c>
      <c r="M232" s="40">
        <v>773823</v>
      </c>
    </row>
    <row r="233" spans="1:13" x14ac:dyDescent="0.6">
      <c r="A233" s="41">
        <v>36251</v>
      </c>
      <c r="B233" s="40">
        <v>5.2813999999999997</v>
      </c>
      <c r="C233" s="40">
        <v>4.9000000000000004</v>
      </c>
      <c r="D233" s="40">
        <v>1171.93</v>
      </c>
      <c r="E233" s="40">
        <v>3087.32</v>
      </c>
      <c r="F233" s="40">
        <v>29.4</v>
      </c>
      <c r="G233" s="40">
        <v>13204720</v>
      </c>
      <c r="H233" s="40">
        <v>4.1006</v>
      </c>
      <c r="I233" s="40">
        <v>2.875</v>
      </c>
      <c r="J233" s="40">
        <v>1672.06</v>
      </c>
      <c r="K233" s="40">
        <v>4851.09</v>
      </c>
      <c r="L233" s="40">
        <v>21.5</v>
      </c>
      <c r="M233" s="40">
        <v>817411</v>
      </c>
    </row>
    <row r="234" spans="1:13" x14ac:dyDescent="0.6">
      <c r="A234" s="41">
        <v>36281</v>
      </c>
      <c r="B234" s="40">
        <v>5.3677000000000001</v>
      </c>
      <c r="C234" s="40">
        <v>4.9375</v>
      </c>
      <c r="D234" s="40">
        <v>1225.69</v>
      </c>
      <c r="E234" s="40">
        <v>3232.48</v>
      </c>
      <c r="F234" s="40">
        <v>30.9</v>
      </c>
      <c r="G234" s="40">
        <v>13830940</v>
      </c>
      <c r="H234" s="40">
        <v>4.0045999999999999</v>
      </c>
      <c r="I234" s="40">
        <v>2.5312999999999999</v>
      </c>
      <c r="J234" s="40">
        <v>1762.22</v>
      </c>
      <c r="K234" s="40">
        <v>5122.24</v>
      </c>
      <c r="L234" s="40">
        <v>20.5</v>
      </c>
      <c r="M234" s="40">
        <v>858692</v>
      </c>
    </row>
    <row r="235" spans="1:13" x14ac:dyDescent="0.6">
      <c r="A235" s="41">
        <v>36312</v>
      </c>
      <c r="B235" s="40">
        <v>5.7636000000000003</v>
      </c>
      <c r="C235" s="40">
        <v>5.01</v>
      </c>
      <c r="D235" s="40">
        <v>1177.68</v>
      </c>
      <c r="E235" s="40">
        <v>3109.13</v>
      </c>
      <c r="F235" s="40">
        <v>29.9</v>
      </c>
      <c r="G235" s="40">
        <v>13353380</v>
      </c>
      <c r="H235" s="40">
        <v>4.3327</v>
      </c>
      <c r="I235" s="40">
        <v>2.5625</v>
      </c>
      <c r="J235" s="40">
        <v>1729.04</v>
      </c>
      <c r="K235" s="40">
        <v>5035.21</v>
      </c>
      <c r="L235" s="40">
        <v>19.5</v>
      </c>
      <c r="M235" s="40">
        <v>848501</v>
      </c>
    </row>
    <row r="236" spans="1:13" x14ac:dyDescent="0.6">
      <c r="A236" s="41">
        <v>36342</v>
      </c>
      <c r="B236" s="40">
        <v>5.8376000000000001</v>
      </c>
      <c r="C236" s="40">
        <v>5.21</v>
      </c>
      <c r="D236" s="40">
        <v>1240.9100000000001</v>
      </c>
      <c r="E236" s="40">
        <v>3279.68</v>
      </c>
      <c r="F236" s="40">
        <v>31.3</v>
      </c>
      <c r="G236" s="40">
        <v>14011630</v>
      </c>
      <c r="H236" s="40">
        <v>4.6184000000000003</v>
      </c>
      <c r="I236" s="40">
        <v>2.5937000000000001</v>
      </c>
      <c r="J236" s="40">
        <v>1842.54</v>
      </c>
      <c r="K236" s="40">
        <v>5376.01</v>
      </c>
      <c r="L236" s="40">
        <v>20</v>
      </c>
      <c r="M236" s="40">
        <v>923381</v>
      </c>
    </row>
    <row r="237" spans="1:13" x14ac:dyDescent="0.6">
      <c r="A237" s="41">
        <v>36373</v>
      </c>
      <c r="B237" s="40">
        <v>5.9092000000000002</v>
      </c>
      <c r="C237" s="40">
        <v>5.31</v>
      </c>
      <c r="D237" s="40">
        <v>1195.45</v>
      </c>
      <c r="E237" s="40">
        <v>3162.95</v>
      </c>
      <c r="F237" s="40">
        <v>29.2</v>
      </c>
      <c r="G237" s="40">
        <v>13481190</v>
      </c>
      <c r="H237" s="40">
        <v>4.8642000000000003</v>
      </c>
      <c r="I237" s="40">
        <v>2.6718999999999999</v>
      </c>
      <c r="J237" s="40">
        <v>1758.32</v>
      </c>
      <c r="K237" s="40">
        <v>5139.97</v>
      </c>
      <c r="L237" s="40">
        <v>18.8</v>
      </c>
      <c r="M237" s="40">
        <v>891347</v>
      </c>
    </row>
    <row r="238" spans="1:13" x14ac:dyDescent="0.6">
      <c r="A238" s="41">
        <v>36404</v>
      </c>
      <c r="B238" s="40">
        <v>5.9794999999999998</v>
      </c>
      <c r="C238" s="40">
        <v>5.45</v>
      </c>
      <c r="D238" s="40">
        <v>1199.94</v>
      </c>
      <c r="E238" s="40">
        <v>3178.42</v>
      </c>
      <c r="F238" s="40">
        <v>29.4</v>
      </c>
      <c r="G238" s="40">
        <v>13544200</v>
      </c>
      <c r="H238" s="40">
        <v>4.8975999999999997</v>
      </c>
      <c r="I238" s="40">
        <v>2.6875</v>
      </c>
      <c r="J238" s="40">
        <v>1867.21</v>
      </c>
      <c r="K238" s="40">
        <v>5468.74</v>
      </c>
      <c r="L238" s="40">
        <v>20.100000000000001</v>
      </c>
      <c r="M238" s="40">
        <v>960137</v>
      </c>
    </row>
    <row r="239" spans="1:13" x14ac:dyDescent="0.6">
      <c r="A239" s="41">
        <v>36434</v>
      </c>
      <c r="B239" s="40">
        <v>5.9877000000000002</v>
      </c>
      <c r="C239" s="40">
        <v>6.04</v>
      </c>
      <c r="D239" s="40">
        <v>1148.48</v>
      </c>
      <c r="E239" s="40">
        <v>3045.59</v>
      </c>
      <c r="F239" s="40">
        <v>28</v>
      </c>
      <c r="G239" s="40">
        <v>12975230</v>
      </c>
      <c r="H239" s="40">
        <v>5.2251000000000003</v>
      </c>
      <c r="I239" s="40">
        <v>3.1562999999999999</v>
      </c>
      <c r="J239" s="40">
        <v>1843.46</v>
      </c>
      <c r="K239" s="40">
        <v>5409.14</v>
      </c>
      <c r="L239" s="40">
        <v>19.899999999999999</v>
      </c>
      <c r="M239" s="40">
        <v>951512</v>
      </c>
    </row>
    <row r="240" spans="1:13" x14ac:dyDescent="0.6">
      <c r="A240" s="41">
        <v>36465</v>
      </c>
      <c r="B240" s="40">
        <v>6.0477999999999996</v>
      </c>
      <c r="C240" s="40">
        <v>6.16</v>
      </c>
      <c r="D240" s="40">
        <v>1217.06</v>
      </c>
      <c r="E240" s="40">
        <v>3231.02</v>
      </c>
      <c r="F240" s="40">
        <v>28.5</v>
      </c>
      <c r="G240" s="40">
        <v>13759570</v>
      </c>
      <c r="H240" s="40">
        <v>5.2595999999999998</v>
      </c>
      <c r="I240" s="40">
        <v>3.4218999999999999</v>
      </c>
      <c r="J240" s="40">
        <v>1950.56</v>
      </c>
      <c r="K240" s="40">
        <v>5733.45</v>
      </c>
      <c r="L240" s="40">
        <v>21</v>
      </c>
      <c r="M240" s="40">
        <v>1034124</v>
      </c>
    </row>
    <row r="241" spans="1:13" x14ac:dyDescent="0.6">
      <c r="A241" s="41">
        <v>36495</v>
      </c>
      <c r="B241" s="40">
        <v>6.2050000000000001</v>
      </c>
      <c r="C241" s="40">
        <v>6.12</v>
      </c>
      <c r="D241" s="40">
        <v>1264.29</v>
      </c>
      <c r="E241" s="40">
        <v>3360.07</v>
      </c>
      <c r="F241" s="40">
        <v>29.1</v>
      </c>
      <c r="G241" s="40">
        <v>14313180</v>
      </c>
      <c r="H241" s="40">
        <v>5.3044000000000002</v>
      </c>
      <c r="I241" s="40">
        <v>3.4375</v>
      </c>
      <c r="J241" s="40">
        <v>2132.33</v>
      </c>
      <c r="K241" s="40">
        <v>6278.38</v>
      </c>
      <c r="L241" s="40">
        <v>22.2</v>
      </c>
      <c r="M241" s="40">
        <v>1144104</v>
      </c>
    </row>
    <row r="242" spans="1:13" x14ac:dyDescent="0.6">
      <c r="A242" s="41">
        <v>36526</v>
      </c>
      <c r="B242" s="40">
        <v>6.5655000000000001</v>
      </c>
      <c r="C242" s="40">
        <v>6.01</v>
      </c>
      <c r="D242" s="40">
        <v>1318.19</v>
      </c>
      <c r="E242" s="40">
        <v>3507.19</v>
      </c>
      <c r="F242" s="40">
        <v>30.3</v>
      </c>
      <c r="G242" s="40">
        <v>14926870</v>
      </c>
      <c r="H242" s="40">
        <v>5.5984999999999996</v>
      </c>
      <c r="I242" s="40">
        <v>3.2812999999999999</v>
      </c>
      <c r="J242" s="40">
        <v>2362.8000000000002</v>
      </c>
      <c r="K242" s="40">
        <v>6968.39</v>
      </c>
      <c r="L242" s="40">
        <v>24.5</v>
      </c>
      <c r="M242" s="40">
        <v>1291907</v>
      </c>
    </row>
    <row r="243" spans="1:13" x14ac:dyDescent="0.6">
      <c r="A243" s="41">
        <v>36557</v>
      </c>
      <c r="B243" s="40">
        <v>6.6208</v>
      </c>
      <c r="C243" s="40">
        <v>6.08</v>
      </c>
      <c r="D243" s="40">
        <v>1282.1300000000001</v>
      </c>
      <c r="E243" s="40">
        <v>3414.7</v>
      </c>
      <c r="F243" s="40">
        <v>28.7</v>
      </c>
      <c r="G243" s="40">
        <v>14545290</v>
      </c>
      <c r="H243" s="40">
        <v>5.6767000000000003</v>
      </c>
      <c r="I243" s="40">
        <v>3.5</v>
      </c>
      <c r="J243" s="40">
        <v>2310.4</v>
      </c>
      <c r="K243" s="40">
        <v>6823.88</v>
      </c>
      <c r="L243" s="40">
        <v>24.4</v>
      </c>
      <c r="M243" s="40">
        <v>1245571</v>
      </c>
    </row>
    <row r="244" spans="1:13" x14ac:dyDescent="0.6">
      <c r="A244" s="41">
        <v>36586</v>
      </c>
      <c r="B244" s="40">
        <v>6.3846999999999996</v>
      </c>
      <c r="C244" s="40">
        <v>6.05</v>
      </c>
      <c r="D244" s="40">
        <v>1262.8800000000001</v>
      </c>
      <c r="E244" s="40">
        <v>3366.94</v>
      </c>
      <c r="F244" s="40">
        <v>27.7</v>
      </c>
      <c r="G244" s="40">
        <v>14377100</v>
      </c>
      <c r="H244" s="40">
        <v>5.4202000000000004</v>
      </c>
      <c r="I244" s="40">
        <v>3.625</v>
      </c>
      <c r="J244" s="40">
        <v>2516.25</v>
      </c>
      <c r="K244" s="40">
        <v>7441.96</v>
      </c>
      <c r="L244" s="40">
        <v>26.2</v>
      </c>
      <c r="M244" s="40">
        <v>1358301</v>
      </c>
    </row>
    <row r="245" spans="1:13" x14ac:dyDescent="0.6">
      <c r="A245" s="41">
        <v>36617</v>
      </c>
      <c r="B245" s="40">
        <v>5.9863999999999997</v>
      </c>
      <c r="C245" s="40">
        <v>6.29</v>
      </c>
      <c r="D245" s="40">
        <v>1343.92</v>
      </c>
      <c r="E245" s="40">
        <v>3586.94</v>
      </c>
      <c r="F245" s="40">
        <v>29.6</v>
      </c>
      <c r="G245" s="40">
        <v>15306390</v>
      </c>
      <c r="H245" s="40">
        <v>5.3676000000000004</v>
      </c>
      <c r="I245" s="40">
        <v>3.8281000000000001</v>
      </c>
      <c r="J245" s="40">
        <v>2456.77</v>
      </c>
      <c r="K245" s="40">
        <v>7276.38</v>
      </c>
      <c r="L245" s="40">
        <v>25.4</v>
      </c>
      <c r="M245" s="40">
        <v>1310729</v>
      </c>
    </row>
    <row r="246" spans="1:13" x14ac:dyDescent="0.6">
      <c r="A246" s="41">
        <v>36647</v>
      </c>
      <c r="B246" s="40">
        <v>6.2656000000000001</v>
      </c>
      <c r="C246" s="40">
        <v>6.47</v>
      </c>
      <c r="D246" s="40">
        <v>1297.32</v>
      </c>
      <c r="E246" s="40">
        <v>3465.66</v>
      </c>
      <c r="F246" s="40">
        <v>29.5</v>
      </c>
      <c r="G246" s="40">
        <v>15608870</v>
      </c>
      <c r="H246" s="40">
        <v>5.3281999999999998</v>
      </c>
      <c r="I246" s="40">
        <v>4.0625</v>
      </c>
      <c r="J246" s="40">
        <v>2553.77</v>
      </c>
      <c r="K246" s="40">
        <v>7574.87</v>
      </c>
      <c r="L246" s="40">
        <v>22.6</v>
      </c>
      <c r="M246" s="40">
        <v>1391481</v>
      </c>
    </row>
    <row r="247" spans="1:13" x14ac:dyDescent="0.6">
      <c r="A247" s="41">
        <v>36678</v>
      </c>
      <c r="B247" s="40">
        <v>6.1996000000000002</v>
      </c>
      <c r="C247" s="40">
        <v>6.84</v>
      </c>
      <c r="D247" s="40">
        <v>1273.49</v>
      </c>
      <c r="E247" s="40">
        <v>3405.53</v>
      </c>
      <c r="F247" s="40">
        <v>28.9</v>
      </c>
      <c r="G247" s="40">
        <v>15316030</v>
      </c>
      <c r="H247" s="40">
        <v>5.3849</v>
      </c>
      <c r="I247" s="40">
        <v>4.4375</v>
      </c>
      <c r="J247" s="40">
        <v>2616.79</v>
      </c>
      <c r="K247" s="40">
        <v>7774.88</v>
      </c>
      <c r="L247" s="40">
        <v>22.9</v>
      </c>
      <c r="M247" s="40">
        <v>1449152</v>
      </c>
    </row>
    <row r="248" spans="1:13" x14ac:dyDescent="0.6">
      <c r="A248" s="41">
        <v>36708</v>
      </c>
      <c r="B248" s="40">
        <v>5.9847000000000001</v>
      </c>
      <c r="C248" s="40">
        <v>6.72</v>
      </c>
      <c r="D248" s="40">
        <v>1306.31</v>
      </c>
      <c r="E248" s="40">
        <v>3496.62</v>
      </c>
      <c r="F248" s="40">
        <v>29.7</v>
      </c>
      <c r="G248" s="40">
        <v>15697900</v>
      </c>
      <c r="H248" s="40">
        <v>5.4029999999999996</v>
      </c>
      <c r="I248" s="40">
        <v>4.5468999999999999</v>
      </c>
      <c r="J248" s="40">
        <v>2583</v>
      </c>
      <c r="K248" s="40">
        <v>7686.59</v>
      </c>
      <c r="L248" s="40">
        <v>21.9</v>
      </c>
      <c r="M248" s="40">
        <v>1434394</v>
      </c>
    </row>
    <row r="249" spans="1:13" x14ac:dyDescent="0.6">
      <c r="A249" s="41">
        <v>36739</v>
      </c>
      <c r="B249" s="40">
        <v>5.9905999999999997</v>
      </c>
      <c r="C249" s="40">
        <v>6.665</v>
      </c>
      <c r="D249" s="40">
        <v>1271.72</v>
      </c>
      <c r="E249" s="40">
        <v>3407.07</v>
      </c>
      <c r="F249" s="40">
        <v>28.8</v>
      </c>
      <c r="G249" s="40">
        <v>15320420</v>
      </c>
      <c r="H249" s="40">
        <v>5.3975999999999997</v>
      </c>
      <c r="I249" s="40">
        <v>4.6406000000000001</v>
      </c>
      <c r="J249" s="40">
        <v>2602.7800000000002</v>
      </c>
      <c r="K249" s="40">
        <v>7757.1</v>
      </c>
      <c r="L249" s="40">
        <v>22.2</v>
      </c>
      <c r="M249" s="40">
        <v>1449460</v>
      </c>
    </row>
    <row r="250" spans="1:13" x14ac:dyDescent="0.6">
      <c r="A250" s="41">
        <v>36770</v>
      </c>
      <c r="B250" s="40">
        <v>5.6801000000000004</v>
      </c>
      <c r="C250" s="40">
        <v>6.6</v>
      </c>
      <c r="D250" s="40">
        <v>1358.68</v>
      </c>
      <c r="E250" s="40">
        <v>3643.6</v>
      </c>
      <c r="F250" s="40">
        <v>30.2</v>
      </c>
      <c r="G250" s="40">
        <v>16375150</v>
      </c>
      <c r="H250" s="40">
        <v>5.3597999999999999</v>
      </c>
      <c r="I250" s="40">
        <v>4.75</v>
      </c>
      <c r="J250" s="40">
        <v>2726.41</v>
      </c>
      <c r="K250" s="40">
        <v>8138.82</v>
      </c>
      <c r="L250" s="40">
        <v>23.1</v>
      </c>
      <c r="M250" s="40">
        <v>1536442</v>
      </c>
    </row>
    <row r="251" spans="1:13" x14ac:dyDescent="0.6">
      <c r="A251" s="41">
        <v>36800</v>
      </c>
      <c r="B251" s="40">
        <v>5.8179999999999996</v>
      </c>
      <c r="C251" s="40">
        <v>6.74</v>
      </c>
      <c r="D251" s="40">
        <v>1286.6099999999999</v>
      </c>
      <c r="E251" s="40">
        <v>3453.45</v>
      </c>
      <c r="F251" s="40">
        <v>28.3</v>
      </c>
      <c r="G251" s="40">
        <v>15524010</v>
      </c>
      <c r="H251" s="40">
        <v>5.4089</v>
      </c>
      <c r="I251" s="40">
        <v>4.9687999999999999</v>
      </c>
      <c r="J251" s="40">
        <v>2525.0500000000002</v>
      </c>
      <c r="K251" s="40">
        <v>7549.08</v>
      </c>
      <c r="L251" s="40">
        <v>21.3</v>
      </c>
      <c r="M251" s="40">
        <v>1430890</v>
      </c>
    </row>
    <row r="252" spans="1:13" x14ac:dyDescent="0.6">
      <c r="A252" s="41">
        <v>36831</v>
      </c>
      <c r="B252" s="40">
        <v>5.7340999999999998</v>
      </c>
      <c r="C252" s="40">
        <v>6.65</v>
      </c>
      <c r="D252" s="40">
        <v>1272.3399999999999</v>
      </c>
      <c r="E252" s="40">
        <v>3418.58</v>
      </c>
      <c r="F252" s="40">
        <v>27.4</v>
      </c>
      <c r="G252" s="40">
        <v>15340400</v>
      </c>
      <c r="H252" s="40">
        <v>5.3239999999999998</v>
      </c>
      <c r="I252" s="40">
        <v>5.1406000000000001</v>
      </c>
      <c r="J252" s="40">
        <v>2541.83</v>
      </c>
      <c r="K252" s="40">
        <v>7612.01</v>
      </c>
      <c r="L252" s="40">
        <v>21.4</v>
      </c>
      <c r="M252" s="40">
        <v>1437669</v>
      </c>
    </row>
    <row r="253" spans="1:13" x14ac:dyDescent="0.6">
      <c r="A253" s="41">
        <v>36861</v>
      </c>
      <c r="B253" s="40">
        <v>5.5162000000000004</v>
      </c>
      <c r="C253" s="40">
        <v>6.6</v>
      </c>
      <c r="D253" s="40">
        <v>1166.4000000000001</v>
      </c>
      <c r="E253" s="40">
        <v>3137.12</v>
      </c>
      <c r="F253" s="40">
        <v>24.9</v>
      </c>
      <c r="G253" s="40">
        <v>13995090</v>
      </c>
      <c r="H253" s="40">
        <v>5.1196000000000002</v>
      </c>
      <c r="I253" s="40">
        <v>5</v>
      </c>
      <c r="J253" s="40">
        <v>2360.2399999999998</v>
      </c>
      <c r="K253" s="40">
        <v>7080.1</v>
      </c>
      <c r="L253" s="40">
        <v>19.7</v>
      </c>
      <c r="M253" s="40">
        <v>1337869</v>
      </c>
    </row>
    <row r="254" spans="1:13" x14ac:dyDescent="0.6">
      <c r="A254" s="41">
        <v>36892</v>
      </c>
      <c r="B254" s="40">
        <v>5.1048</v>
      </c>
      <c r="C254" s="40">
        <v>6.28</v>
      </c>
      <c r="D254" s="40">
        <v>1180.19</v>
      </c>
      <c r="E254" s="40">
        <v>3177.39</v>
      </c>
      <c r="F254" s="40">
        <v>25.2</v>
      </c>
      <c r="G254" s="40">
        <v>14114110</v>
      </c>
      <c r="H254" s="40">
        <v>4.9988999999999999</v>
      </c>
      <c r="I254" s="40">
        <v>4.8125</v>
      </c>
      <c r="J254" s="40">
        <v>2364.7199999999998</v>
      </c>
      <c r="K254" s="40">
        <v>7105.54</v>
      </c>
      <c r="L254" s="40">
        <v>19.3</v>
      </c>
      <c r="M254" s="40">
        <v>1361179</v>
      </c>
    </row>
    <row r="255" spans="1:13" x14ac:dyDescent="0.6">
      <c r="A255" s="41">
        <v>36923</v>
      </c>
      <c r="B255" s="40">
        <v>5.0692000000000004</v>
      </c>
      <c r="C255" s="40">
        <v>5.36</v>
      </c>
      <c r="D255" s="40">
        <v>1218.8699999999999</v>
      </c>
      <c r="E255" s="40">
        <v>3285.08</v>
      </c>
      <c r="F255" s="40">
        <v>26.1</v>
      </c>
      <c r="G255" s="40">
        <v>15297210</v>
      </c>
      <c r="H255" s="40">
        <v>4.9314</v>
      </c>
      <c r="I255" s="40">
        <v>4.7031000000000001</v>
      </c>
      <c r="J255" s="40">
        <v>2361.65</v>
      </c>
      <c r="K255" s="40">
        <v>7109.45</v>
      </c>
      <c r="L255" s="40">
        <v>19.600000000000001</v>
      </c>
      <c r="M255" s="40">
        <v>1394284</v>
      </c>
    </row>
    <row r="256" spans="1:13" x14ac:dyDescent="0.6">
      <c r="A256" s="41">
        <v>36951</v>
      </c>
      <c r="B256" s="40">
        <v>4.8681000000000001</v>
      </c>
      <c r="C256" s="40">
        <v>5.08</v>
      </c>
      <c r="D256" s="40">
        <v>1102.48</v>
      </c>
      <c r="E256" s="40">
        <v>2974.26</v>
      </c>
      <c r="F256" s="40">
        <v>23.4</v>
      </c>
      <c r="G256" s="40">
        <v>13879600</v>
      </c>
      <c r="H256" s="40">
        <v>4.8875000000000002</v>
      </c>
      <c r="I256" s="40">
        <v>4.7343999999999999</v>
      </c>
      <c r="J256" s="40">
        <v>2149.79</v>
      </c>
      <c r="K256" s="40">
        <v>6482.14</v>
      </c>
      <c r="L256" s="40">
        <v>18.5</v>
      </c>
      <c r="M256" s="40">
        <v>1313195</v>
      </c>
    </row>
    <row r="257" spans="1:13" x14ac:dyDescent="0.6">
      <c r="A257" s="41">
        <v>36982</v>
      </c>
      <c r="B257" s="40">
        <v>4.9706999999999999</v>
      </c>
      <c r="C257" s="40">
        <v>4.8</v>
      </c>
      <c r="D257" s="40">
        <v>1010.58</v>
      </c>
      <c r="E257" s="40">
        <v>2729.51</v>
      </c>
      <c r="F257" s="40">
        <v>21.7</v>
      </c>
      <c r="G257" s="40">
        <v>12739460</v>
      </c>
      <c r="H257" s="40">
        <v>4.8612000000000002</v>
      </c>
      <c r="I257" s="40">
        <v>4.5625</v>
      </c>
      <c r="J257" s="40">
        <v>2112.2399999999998</v>
      </c>
      <c r="K257" s="40">
        <v>6381</v>
      </c>
      <c r="L257" s="40">
        <v>18.3</v>
      </c>
      <c r="M257" s="40">
        <v>1291537</v>
      </c>
    </row>
    <row r="258" spans="1:13" x14ac:dyDescent="0.6">
      <c r="A258" s="41">
        <v>37012</v>
      </c>
      <c r="B258" s="40">
        <v>5.2958999999999996</v>
      </c>
      <c r="C258" s="40">
        <v>4.24</v>
      </c>
      <c r="D258" s="40">
        <v>1117.71</v>
      </c>
      <c r="E258" s="40">
        <v>3022.23</v>
      </c>
      <c r="F258" s="40">
        <v>23.8</v>
      </c>
      <c r="G258" s="40">
        <v>14101080</v>
      </c>
      <c r="H258" s="40">
        <v>5.1765999999999996</v>
      </c>
      <c r="I258" s="40">
        <v>4.8125</v>
      </c>
      <c r="J258" s="40">
        <v>2287.56</v>
      </c>
      <c r="K258" s="40">
        <v>6922.73</v>
      </c>
      <c r="L258" s="40">
        <v>19.5</v>
      </c>
      <c r="M258" s="40">
        <v>1434260</v>
      </c>
    </row>
    <row r="259" spans="1:13" x14ac:dyDescent="0.6">
      <c r="A259" s="41">
        <v>37043</v>
      </c>
      <c r="B259" s="40">
        <v>5.3716999999999997</v>
      </c>
      <c r="C259" s="40">
        <v>3.93</v>
      </c>
      <c r="D259" s="40">
        <v>1114.3699999999999</v>
      </c>
      <c r="E259" s="40">
        <v>3016.73</v>
      </c>
      <c r="F259" s="40">
        <v>24.1</v>
      </c>
      <c r="G259" s="40">
        <v>13998810</v>
      </c>
      <c r="H259" s="40">
        <v>5.1896000000000004</v>
      </c>
      <c r="I259" s="40">
        <v>4.5</v>
      </c>
      <c r="J259" s="40">
        <v>2214.9</v>
      </c>
      <c r="K259" s="40">
        <v>6715.42</v>
      </c>
      <c r="L259" s="40">
        <v>18.8</v>
      </c>
      <c r="M259" s="40">
        <v>1390239</v>
      </c>
    </row>
    <row r="260" spans="1:13" x14ac:dyDescent="0.6">
      <c r="A260" s="41">
        <v>37073</v>
      </c>
      <c r="B260" s="40">
        <v>5.3376999999999999</v>
      </c>
      <c r="C260" s="40">
        <v>3.79</v>
      </c>
      <c r="D260" s="40">
        <v>1095.3</v>
      </c>
      <c r="E260" s="40">
        <v>2968.35</v>
      </c>
      <c r="F260" s="40">
        <v>23.9</v>
      </c>
      <c r="G260" s="40">
        <v>13748980</v>
      </c>
      <c r="H260" s="40">
        <v>5.2244999999999999</v>
      </c>
      <c r="I260" s="40">
        <v>4.3593999999999999</v>
      </c>
      <c r="J260" s="40">
        <v>2146.77</v>
      </c>
      <c r="K260" s="40">
        <v>6520.5</v>
      </c>
      <c r="L260" s="40">
        <v>18.2</v>
      </c>
      <c r="M260" s="40">
        <v>1348630</v>
      </c>
    </row>
    <row r="261" spans="1:13" x14ac:dyDescent="0.6">
      <c r="A261" s="41">
        <v>37104</v>
      </c>
      <c r="B261" s="40">
        <v>5.0730000000000004</v>
      </c>
      <c r="C261" s="40">
        <v>3.58</v>
      </c>
      <c r="D261" s="40">
        <v>1076.07</v>
      </c>
      <c r="E261" s="40">
        <v>2919.69</v>
      </c>
      <c r="F261" s="40">
        <v>24.8</v>
      </c>
      <c r="G261" s="40">
        <v>13590500</v>
      </c>
      <c r="H261" s="40">
        <v>5.0228999999999999</v>
      </c>
      <c r="I261" s="40">
        <v>4.4218999999999999</v>
      </c>
      <c r="J261" s="40">
        <v>2076.38</v>
      </c>
      <c r="K261" s="40">
        <v>6320.25</v>
      </c>
      <c r="L261" s="40">
        <v>17.399999999999999</v>
      </c>
      <c r="M261" s="40">
        <v>1308719</v>
      </c>
    </row>
    <row r="262" spans="1:13" x14ac:dyDescent="0.6">
      <c r="A262" s="41">
        <v>37135</v>
      </c>
      <c r="B262" s="40">
        <v>4.8194999999999997</v>
      </c>
      <c r="C262" s="40">
        <v>3.45</v>
      </c>
      <c r="D262" s="40">
        <v>1014.82</v>
      </c>
      <c r="E262" s="40">
        <v>2756.96</v>
      </c>
      <c r="F262" s="40">
        <v>24.4</v>
      </c>
      <c r="G262" s="40">
        <v>12792950</v>
      </c>
      <c r="H262" s="40">
        <v>4.9086999999999996</v>
      </c>
      <c r="I262" s="40">
        <v>4.25</v>
      </c>
      <c r="J262" s="40">
        <v>1892.01</v>
      </c>
      <c r="K262" s="40">
        <v>5772.45</v>
      </c>
      <c r="L262" s="40">
        <v>15.7</v>
      </c>
      <c r="M262" s="40">
        <v>1198633</v>
      </c>
    </row>
    <row r="263" spans="1:13" x14ac:dyDescent="0.6">
      <c r="A263" s="41">
        <v>37165</v>
      </c>
      <c r="B263" s="40">
        <v>4.5414000000000003</v>
      </c>
      <c r="C263" s="40">
        <v>2.59</v>
      </c>
      <c r="D263" s="40">
        <v>934.65</v>
      </c>
      <c r="E263" s="40">
        <v>2542.2399999999998</v>
      </c>
      <c r="F263" s="40">
        <v>22.9</v>
      </c>
      <c r="G263" s="40">
        <v>11778200</v>
      </c>
      <c r="H263" s="40">
        <v>4.8792</v>
      </c>
      <c r="I263" s="40">
        <v>3.6093999999999999</v>
      </c>
      <c r="J263" s="40">
        <v>1631.19</v>
      </c>
      <c r="K263" s="40">
        <v>4988.71</v>
      </c>
      <c r="L263" s="40">
        <v>13.6</v>
      </c>
      <c r="M263" s="40">
        <v>1033541</v>
      </c>
    </row>
    <row r="264" spans="1:13" x14ac:dyDescent="0.6">
      <c r="A264" s="41">
        <v>37196</v>
      </c>
      <c r="B264" s="40">
        <v>4.2175000000000002</v>
      </c>
      <c r="C264" s="40">
        <v>2.16</v>
      </c>
      <c r="D264" s="40">
        <v>974.91</v>
      </c>
      <c r="E264" s="40">
        <v>2655.37</v>
      </c>
      <c r="F264" s="40">
        <v>24.2</v>
      </c>
      <c r="G264" s="40">
        <v>12407510</v>
      </c>
      <c r="H264" s="40">
        <v>4.3811</v>
      </c>
      <c r="I264" s="40">
        <v>3.4531000000000001</v>
      </c>
      <c r="J264" s="40">
        <v>1778.94</v>
      </c>
      <c r="K264" s="40">
        <v>5454.96</v>
      </c>
      <c r="L264" s="40">
        <v>15.1</v>
      </c>
      <c r="M264" s="40">
        <v>1128150</v>
      </c>
    </row>
    <row r="265" spans="1:13" x14ac:dyDescent="0.6">
      <c r="A265" s="41">
        <v>37226</v>
      </c>
      <c r="B265" s="40">
        <v>4.7144000000000004</v>
      </c>
      <c r="C265" s="40">
        <v>1.9</v>
      </c>
      <c r="D265" s="40">
        <v>1012.04</v>
      </c>
      <c r="E265" s="40">
        <v>2760</v>
      </c>
      <c r="F265" s="40">
        <v>26.5</v>
      </c>
      <c r="G265" s="40">
        <v>12840250</v>
      </c>
      <c r="H265" s="40">
        <v>4.6128999999999998</v>
      </c>
      <c r="I265" s="40">
        <v>3.3593999999999999</v>
      </c>
      <c r="J265" s="40">
        <v>1837.6</v>
      </c>
      <c r="K265" s="40">
        <v>5647.89</v>
      </c>
      <c r="L265" s="40">
        <v>17.399999999999999</v>
      </c>
      <c r="M265" s="40">
        <v>1159320</v>
      </c>
    </row>
    <row r="266" spans="1:13" x14ac:dyDescent="0.6">
      <c r="A266" s="41">
        <v>37257</v>
      </c>
      <c r="B266" s="40">
        <v>5.04</v>
      </c>
      <c r="C266" s="40">
        <v>1.83</v>
      </c>
      <c r="D266" s="40">
        <v>1030.92</v>
      </c>
      <c r="E266" s="40">
        <v>2814.87</v>
      </c>
      <c r="F266" s="40">
        <v>27</v>
      </c>
      <c r="G266" s="40">
        <v>12875890</v>
      </c>
      <c r="H266" s="40">
        <v>5.0092999999999996</v>
      </c>
      <c r="I266" s="40">
        <v>3.2812999999999999</v>
      </c>
      <c r="J266" s="40">
        <v>1899.52</v>
      </c>
      <c r="K266" s="40">
        <v>5850.84</v>
      </c>
      <c r="L266" s="40">
        <v>18</v>
      </c>
      <c r="M266" s="40">
        <v>1199014</v>
      </c>
    </row>
    <row r="267" spans="1:13" x14ac:dyDescent="0.6">
      <c r="A267" s="41">
        <v>37288</v>
      </c>
      <c r="B267" s="40">
        <v>4.9850000000000003</v>
      </c>
      <c r="C267" s="40">
        <v>1.86</v>
      </c>
      <c r="D267" s="40">
        <v>1010.82</v>
      </c>
      <c r="E267" s="40">
        <v>2763.59</v>
      </c>
      <c r="F267" s="40">
        <v>27.1</v>
      </c>
      <c r="G267" s="40">
        <v>12864690</v>
      </c>
      <c r="H267" s="40">
        <v>4.9518000000000004</v>
      </c>
      <c r="I267" s="40">
        <v>3.3593999999999999</v>
      </c>
      <c r="J267" s="40">
        <v>1836.18</v>
      </c>
      <c r="K267" s="40">
        <v>5669.01</v>
      </c>
      <c r="L267" s="40">
        <v>17</v>
      </c>
      <c r="M267" s="40">
        <v>1201635</v>
      </c>
    </row>
    <row r="268" spans="1:13" x14ac:dyDescent="0.6">
      <c r="A268" s="41">
        <v>37316</v>
      </c>
      <c r="B268" s="40">
        <v>4.9794999999999998</v>
      </c>
      <c r="C268" s="40">
        <v>1.88</v>
      </c>
      <c r="D268" s="40">
        <v>1022.18</v>
      </c>
      <c r="E268" s="40">
        <v>2797.9</v>
      </c>
      <c r="F268" s="40">
        <v>28.9</v>
      </c>
      <c r="G268" s="40">
        <v>13015880</v>
      </c>
      <c r="H268" s="40">
        <v>5.0871000000000004</v>
      </c>
      <c r="I268" s="40">
        <v>3.3593999999999999</v>
      </c>
      <c r="J268" s="40">
        <v>1841.17</v>
      </c>
      <c r="K268" s="40">
        <v>5696.43</v>
      </c>
      <c r="L268" s="40">
        <v>17.100000000000001</v>
      </c>
      <c r="M268" s="40">
        <v>1210187</v>
      </c>
    </row>
    <row r="269" spans="1:13" x14ac:dyDescent="0.6">
      <c r="A269" s="41">
        <v>37347</v>
      </c>
      <c r="B269" s="40">
        <v>5.4298000000000002</v>
      </c>
      <c r="C269" s="40">
        <v>2</v>
      </c>
      <c r="D269" s="40">
        <v>1038.3699999999999</v>
      </c>
      <c r="E269" s="40">
        <v>2845.52</v>
      </c>
      <c r="F269" s="40">
        <v>29.3</v>
      </c>
      <c r="G269" s="40">
        <v>13230940</v>
      </c>
      <c r="H269" s="40">
        <v>5.3055000000000003</v>
      </c>
      <c r="I269" s="40">
        <v>3.4218999999999999</v>
      </c>
      <c r="J269" s="40">
        <v>1934.7</v>
      </c>
      <c r="K269" s="40">
        <v>5997.91</v>
      </c>
      <c r="L269" s="40">
        <v>18.899999999999999</v>
      </c>
      <c r="M269" s="40">
        <v>1271071</v>
      </c>
    </row>
    <row r="270" spans="1:13" x14ac:dyDescent="0.6">
      <c r="A270" s="41">
        <v>37377</v>
      </c>
      <c r="B270" s="40">
        <v>5.0530999999999997</v>
      </c>
      <c r="C270" s="40">
        <v>1.86</v>
      </c>
      <c r="D270" s="40">
        <v>998.77</v>
      </c>
      <c r="E270" s="40">
        <v>2740.47</v>
      </c>
      <c r="F270" s="40">
        <v>28</v>
      </c>
      <c r="G270" s="40">
        <v>12775900</v>
      </c>
      <c r="H270" s="40">
        <v>5.3291000000000004</v>
      </c>
      <c r="I270" s="40">
        <v>3.3593999999999999</v>
      </c>
      <c r="J270" s="40">
        <v>1850.35</v>
      </c>
      <c r="K270" s="40">
        <v>5749.34</v>
      </c>
      <c r="L270" s="40">
        <v>15.4</v>
      </c>
      <c r="M270" s="40">
        <v>1226336</v>
      </c>
    </row>
    <row r="271" spans="1:13" x14ac:dyDescent="0.6">
      <c r="A271" s="41">
        <v>37408</v>
      </c>
      <c r="B271" s="40">
        <v>5.0396000000000001</v>
      </c>
      <c r="C271" s="40">
        <v>1.85</v>
      </c>
      <c r="D271" s="40">
        <v>958.71</v>
      </c>
      <c r="E271" s="40">
        <v>2634.14</v>
      </c>
      <c r="F271" s="40">
        <v>26.8</v>
      </c>
      <c r="G271" s="40">
        <v>12256060</v>
      </c>
      <c r="H271" s="40">
        <v>5.2516999999999996</v>
      </c>
      <c r="I271" s="40">
        <v>3.4687999999999999</v>
      </c>
      <c r="J271" s="40">
        <v>1760.54</v>
      </c>
      <c r="K271" s="40">
        <v>5483.7</v>
      </c>
      <c r="L271" s="40">
        <v>14.7</v>
      </c>
      <c r="M271" s="40">
        <v>1167343</v>
      </c>
    </row>
    <row r="272" spans="1:13" x14ac:dyDescent="0.6">
      <c r="A272" s="41">
        <v>37438</v>
      </c>
      <c r="B272" s="40">
        <v>4.8174000000000001</v>
      </c>
      <c r="C272" s="40">
        <v>1.82</v>
      </c>
      <c r="D272" s="40">
        <v>892.54</v>
      </c>
      <c r="E272" s="40">
        <v>2455.42</v>
      </c>
      <c r="F272" s="40">
        <v>25</v>
      </c>
      <c r="G272" s="40">
        <v>11414680</v>
      </c>
      <c r="H272" s="40">
        <v>5.0652999999999997</v>
      </c>
      <c r="I272" s="40">
        <v>3.3906000000000001</v>
      </c>
      <c r="J272" s="40">
        <v>1619.32</v>
      </c>
      <c r="K272" s="40">
        <v>5056.03</v>
      </c>
      <c r="L272" s="40">
        <v>13.5</v>
      </c>
      <c r="M272" s="40">
        <v>1074787</v>
      </c>
    </row>
    <row r="273" spans="1:13" x14ac:dyDescent="0.6">
      <c r="A273" s="41">
        <v>37469</v>
      </c>
      <c r="B273" s="40">
        <v>4.4012000000000002</v>
      </c>
      <c r="C273" s="40">
        <v>1.77</v>
      </c>
      <c r="D273" s="40">
        <v>825.08</v>
      </c>
      <c r="E273" s="40">
        <v>2273.5500000000002</v>
      </c>
      <c r="F273" s="40">
        <v>22.4</v>
      </c>
      <c r="G273" s="40">
        <v>10631670</v>
      </c>
      <c r="H273" s="40">
        <v>4.7746000000000004</v>
      </c>
      <c r="I273" s="40">
        <v>3.3281000000000001</v>
      </c>
      <c r="J273" s="40">
        <v>1380.56</v>
      </c>
      <c r="K273" s="40">
        <v>4323.68</v>
      </c>
      <c r="L273" s="40">
        <v>11.4</v>
      </c>
      <c r="M273" s="40">
        <v>919269</v>
      </c>
    </row>
    <row r="274" spans="1:13" x14ac:dyDescent="0.6">
      <c r="A274" s="41">
        <v>37500</v>
      </c>
      <c r="B274" s="40">
        <v>4.1369999999999996</v>
      </c>
      <c r="C274" s="40">
        <v>1.79</v>
      </c>
      <c r="D274" s="40">
        <v>853.72</v>
      </c>
      <c r="E274" s="40">
        <v>2356.08</v>
      </c>
      <c r="F274" s="40">
        <v>23.1</v>
      </c>
      <c r="G274" s="40">
        <v>10973930</v>
      </c>
      <c r="H274" s="40">
        <v>4.5810000000000004</v>
      </c>
      <c r="I274" s="40">
        <v>3.3125</v>
      </c>
      <c r="J274" s="40">
        <v>1391.08</v>
      </c>
      <c r="K274" s="40">
        <v>4369.32</v>
      </c>
      <c r="L274" s="40">
        <v>12.1</v>
      </c>
      <c r="M274" s="40">
        <v>927453</v>
      </c>
    </row>
    <row r="275" spans="1:13" x14ac:dyDescent="0.6">
      <c r="A275" s="41">
        <v>37530</v>
      </c>
      <c r="B275" s="40">
        <v>3.6989000000000001</v>
      </c>
      <c r="C275" s="40">
        <v>1.73</v>
      </c>
      <c r="D275" s="40">
        <v>796.41</v>
      </c>
      <c r="E275" s="40">
        <v>2201.33</v>
      </c>
      <c r="F275" s="40">
        <v>21.5</v>
      </c>
      <c r="G275" s="40">
        <v>10238140</v>
      </c>
      <c r="H275" s="40">
        <v>4.4172000000000002</v>
      </c>
      <c r="I275" s="40">
        <v>3.2343999999999999</v>
      </c>
      <c r="J275" s="40">
        <v>1206.76</v>
      </c>
      <c r="K275" s="40">
        <v>3801.91</v>
      </c>
      <c r="L275" s="40">
        <v>10.4</v>
      </c>
      <c r="M275" s="40">
        <v>805246</v>
      </c>
    </row>
    <row r="276" spans="1:13" x14ac:dyDescent="0.6">
      <c r="A276" s="41">
        <v>37561</v>
      </c>
      <c r="B276" s="40">
        <v>3.9763999999999999</v>
      </c>
      <c r="C276" s="40">
        <v>1.61</v>
      </c>
      <c r="D276" s="40">
        <v>837.01</v>
      </c>
      <c r="E276" s="40">
        <v>2317.5500000000002</v>
      </c>
      <c r="F276" s="40">
        <v>21.9</v>
      </c>
      <c r="G276" s="40">
        <v>10814710</v>
      </c>
      <c r="H276" s="40">
        <v>4.6440999999999999</v>
      </c>
      <c r="I276" s="40">
        <v>3.1718999999999999</v>
      </c>
      <c r="J276" s="40">
        <v>1325.05</v>
      </c>
      <c r="K276" s="40">
        <v>4188.68</v>
      </c>
      <c r="L276" s="40">
        <v>11.5</v>
      </c>
      <c r="M276" s="40">
        <v>879734</v>
      </c>
    </row>
    <row r="277" spans="1:13" x14ac:dyDescent="0.6">
      <c r="A277" s="41">
        <v>37591</v>
      </c>
      <c r="B277" s="40">
        <v>4.2226999999999997</v>
      </c>
      <c r="C277" s="40">
        <v>1.4</v>
      </c>
      <c r="D277" s="40">
        <v>858.9</v>
      </c>
      <c r="E277" s="40">
        <v>2381.7199999999998</v>
      </c>
      <c r="F277" s="40">
        <v>22.1</v>
      </c>
      <c r="G277" s="40">
        <v>11064540</v>
      </c>
      <c r="H277" s="40">
        <v>4.5903</v>
      </c>
      <c r="I277" s="40">
        <v>3</v>
      </c>
      <c r="J277" s="40">
        <v>1414.6</v>
      </c>
      <c r="K277" s="40">
        <v>4484.12</v>
      </c>
      <c r="L277" s="40">
        <v>12.7</v>
      </c>
      <c r="M277" s="40">
        <v>937236</v>
      </c>
    </row>
    <row r="278" spans="1:13" x14ac:dyDescent="0.6">
      <c r="A278" s="41">
        <v>37622</v>
      </c>
      <c r="B278" s="40">
        <v>3.8283999999999998</v>
      </c>
      <c r="C278" s="40">
        <v>1.33</v>
      </c>
      <c r="D278" s="40">
        <v>818.05</v>
      </c>
      <c r="E278" s="40">
        <v>2272.09</v>
      </c>
      <c r="F278" s="40">
        <v>20.8</v>
      </c>
      <c r="G278" s="40">
        <v>10402550</v>
      </c>
      <c r="H278" s="40">
        <v>4.2586000000000004</v>
      </c>
      <c r="I278" s="40">
        <v>2.8281000000000001</v>
      </c>
      <c r="J278" s="40">
        <v>1310.2</v>
      </c>
      <c r="K278" s="40">
        <v>4165.3</v>
      </c>
      <c r="L278" s="40">
        <v>11.8</v>
      </c>
      <c r="M278" s="40">
        <v>868495</v>
      </c>
    </row>
    <row r="279" spans="1:13" x14ac:dyDescent="0.6">
      <c r="A279" s="41">
        <v>37653</v>
      </c>
      <c r="B279" s="40">
        <v>3.9927000000000001</v>
      </c>
      <c r="C279" s="40">
        <v>1.31</v>
      </c>
      <c r="D279" s="40">
        <v>798.34</v>
      </c>
      <c r="E279" s="40">
        <v>2221.14</v>
      </c>
      <c r="F279" s="40">
        <v>20</v>
      </c>
      <c r="G279" s="40">
        <v>10297580</v>
      </c>
      <c r="H279" s="40">
        <v>4.1181000000000001</v>
      </c>
      <c r="I279" s="40">
        <v>2.7656000000000001</v>
      </c>
      <c r="J279" s="40">
        <v>1272.22</v>
      </c>
      <c r="K279" s="40">
        <v>4057.22</v>
      </c>
      <c r="L279" s="40">
        <v>11.5</v>
      </c>
      <c r="M279" s="40">
        <v>840468</v>
      </c>
    </row>
    <row r="280" spans="1:13" x14ac:dyDescent="0.6">
      <c r="A280" s="41">
        <v>37681</v>
      </c>
      <c r="B280" s="40">
        <v>3.6798000000000002</v>
      </c>
      <c r="C280" s="40">
        <v>1.3</v>
      </c>
      <c r="D280" s="40">
        <v>775.8</v>
      </c>
      <c r="E280" s="40">
        <v>2161.8000000000002</v>
      </c>
      <c r="F280" s="40">
        <v>19.3</v>
      </c>
      <c r="G280" s="40">
        <v>9998426</v>
      </c>
      <c r="H280" s="40">
        <v>3.9268000000000001</v>
      </c>
      <c r="I280" s="40">
        <v>2.4843999999999999</v>
      </c>
      <c r="J280" s="40">
        <v>1191.95</v>
      </c>
      <c r="K280" s="40">
        <v>3812.39</v>
      </c>
      <c r="L280" s="40">
        <v>10.8</v>
      </c>
      <c r="M280" s="40">
        <v>787284</v>
      </c>
    </row>
    <row r="281" spans="1:13" x14ac:dyDescent="0.6">
      <c r="A281" s="41">
        <v>37712</v>
      </c>
      <c r="B281" s="40">
        <v>3.8319000000000001</v>
      </c>
      <c r="C281" s="40">
        <v>1.19</v>
      </c>
      <c r="D281" s="40">
        <v>795.5</v>
      </c>
      <c r="E281" s="40">
        <v>2220.34</v>
      </c>
      <c r="F281" s="40">
        <v>19.7</v>
      </c>
      <c r="G281" s="40">
        <v>10234560</v>
      </c>
      <c r="H281" s="40">
        <v>4.0701999999999998</v>
      </c>
      <c r="I281" s="40">
        <v>2.4843999999999999</v>
      </c>
      <c r="J281" s="40">
        <v>1149.55</v>
      </c>
      <c r="K281" s="40">
        <v>3688.42</v>
      </c>
      <c r="L281" s="40">
        <v>11.9</v>
      </c>
      <c r="M281" s="40">
        <v>773267</v>
      </c>
    </row>
    <row r="282" spans="1:13" x14ac:dyDescent="0.6">
      <c r="A282" s="41">
        <v>37742</v>
      </c>
      <c r="B282" s="40">
        <v>3.8582000000000001</v>
      </c>
      <c r="C282" s="40">
        <v>1.22</v>
      </c>
      <c r="D282" s="40">
        <v>843.94</v>
      </c>
      <c r="E282" s="40">
        <v>2359.38</v>
      </c>
      <c r="F282" s="40">
        <v>21</v>
      </c>
      <c r="G282" s="40">
        <v>10900910</v>
      </c>
      <c r="H282" s="40">
        <v>4.1561000000000003</v>
      </c>
      <c r="I282" s="40">
        <v>2.4687999999999999</v>
      </c>
      <c r="J282" s="40">
        <v>1278.18</v>
      </c>
      <c r="K282" s="40">
        <v>4114.07</v>
      </c>
      <c r="L282" s="40">
        <v>13.5</v>
      </c>
      <c r="M282" s="40">
        <v>858391</v>
      </c>
    </row>
    <row r="283" spans="1:13" x14ac:dyDescent="0.6">
      <c r="A283" s="41">
        <v>37773</v>
      </c>
      <c r="B283" s="40">
        <v>3.4253999999999998</v>
      </c>
      <c r="C283" s="40">
        <v>1.2</v>
      </c>
      <c r="D283" s="40">
        <v>896.54</v>
      </c>
      <c r="E283" s="40">
        <v>2510.39</v>
      </c>
      <c r="F283" s="40">
        <v>21.2</v>
      </c>
      <c r="G283" s="40">
        <v>11571600</v>
      </c>
      <c r="H283" s="40">
        <v>3.8102999999999998</v>
      </c>
      <c r="I283" s="40">
        <v>2.2343999999999999</v>
      </c>
      <c r="J283" s="40">
        <v>1327.77</v>
      </c>
      <c r="K283" s="40">
        <v>4287.0200000000004</v>
      </c>
      <c r="L283" s="40">
        <v>14</v>
      </c>
      <c r="M283" s="40">
        <v>890321</v>
      </c>
    </row>
    <row r="284" spans="1:13" x14ac:dyDescent="0.6">
      <c r="A284" s="41">
        <v>37803</v>
      </c>
      <c r="B284" s="40">
        <v>3.5512999999999999</v>
      </c>
      <c r="C284" s="40">
        <v>1.06</v>
      </c>
      <c r="D284" s="40">
        <v>911.02</v>
      </c>
      <c r="E284" s="40">
        <v>2554.6</v>
      </c>
      <c r="F284" s="40">
        <v>21.5</v>
      </c>
      <c r="G284" s="40">
        <v>11759790</v>
      </c>
      <c r="H284" s="40">
        <v>3.843</v>
      </c>
      <c r="I284" s="40">
        <v>2.125</v>
      </c>
      <c r="J284" s="40">
        <v>1308.46</v>
      </c>
      <c r="K284" s="40">
        <v>4236.66</v>
      </c>
      <c r="L284" s="40">
        <v>14</v>
      </c>
      <c r="M284" s="40">
        <v>865244</v>
      </c>
    </row>
    <row r="285" spans="1:13" x14ac:dyDescent="0.6">
      <c r="A285" s="41">
        <v>37834</v>
      </c>
      <c r="B285" s="40">
        <v>4.4143999999999997</v>
      </c>
      <c r="C285" s="40">
        <v>1.0900000000000001</v>
      </c>
      <c r="D285" s="40">
        <v>907.78</v>
      </c>
      <c r="E285" s="40">
        <v>2549.61</v>
      </c>
      <c r="F285" s="40">
        <v>21.3</v>
      </c>
      <c r="G285" s="40">
        <v>11718250</v>
      </c>
      <c r="H285" s="40">
        <v>4.1959</v>
      </c>
      <c r="I285" s="40">
        <v>2.125</v>
      </c>
      <c r="J285" s="40">
        <v>1380.74</v>
      </c>
      <c r="K285" s="40">
        <v>4484.4799999999996</v>
      </c>
      <c r="L285" s="40">
        <v>14.8</v>
      </c>
      <c r="M285" s="40">
        <v>915079</v>
      </c>
    </row>
    <row r="286" spans="1:13" x14ac:dyDescent="0.6">
      <c r="A286" s="41">
        <v>37865</v>
      </c>
      <c r="B286" s="40">
        <v>4.4516</v>
      </c>
      <c r="C286" s="40">
        <v>1.1000000000000001</v>
      </c>
      <c r="D286" s="40">
        <v>933.35</v>
      </c>
      <c r="E286" s="40">
        <v>2625.33</v>
      </c>
      <c r="F286" s="40">
        <v>21.5</v>
      </c>
      <c r="G286" s="40">
        <v>12045630</v>
      </c>
      <c r="H286" s="40">
        <v>4.2125000000000004</v>
      </c>
      <c r="I286" s="40">
        <v>2.125</v>
      </c>
      <c r="J286" s="40">
        <v>1464.23</v>
      </c>
      <c r="K286" s="40">
        <v>4768.5200000000004</v>
      </c>
      <c r="L286" s="40">
        <v>16</v>
      </c>
      <c r="M286" s="40">
        <v>970384</v>
      </c>
    </row>
    <row r="287" spans="1:13" x14ac:dyDescent="0.6">
      <c r="A287" s="41">
        <v>37895</v>
      </c>
      <c r="B287" s="40">
        <v>3.9302999999999999</v>
      </c>
      <c r="C287" s="40">
        <v>1.08</v>
      </c>
      <c r="D287" s="40">
        <v>945.53</v>
      </c>
      <c r="E287" s="40">
        <v>2663.69</v>
      </c>
      <c r="F287" s="40">
        <v>21.7</v>
      </c>
      <c r="G287" s="40">
        <v>12205630</v>
      </c>
      <c r="H287" s="40">
        <v>3.9841000000000002</v>
      </c>
      <c r="I287" s="40">
        <v>2.0937999999999999</v>
      </c>
      <c r="J287" s="40">
        <v>1404.31</v>
      </c>
      <c r="K287" s="40">
        <v>4585.97</v>
      </c>
      <c r="L287" s="40">
        <v>15.3</v>
      </c>
      <c r="M287" s="40">
        <v>929972</v>
      </c>
    </row>
    <row r="288" spans="1:13" x14ac:dyDescent="0.6">
      <c r="A288" s="41">
        <v>37926</v>
      </c>
      <c r="B288" s="40">
        <v>4.3666999999999998</v>
      </c>
      <c r="C288" s="40">
        <v>1.1299999999999999</v>
      </c>
      <c r="D288" s="40">
        <v>985.14</v>
      </c>
      <c r="E288" s="40">
        <v>2779.66</v>
      </c>
      <c r="F288" s="40">
        <v>22.3</v>
      </c>
      <c r="G288" s="40">
        <v>12739750</v>
      </c>
      <c r="H288" s="40">
        <v>4.3771000000000004</v>
      </c>
      <c r="I288" s="40">
        <v>2.1406000000000001</v>
      </c>
      <c r="J288" s="40">
        <v>1512.4</v>
      </c>
      <c r="K288" s="40">
        <v>4953.26</v>
      </c>
      <c r="L288" s="40">
        <v>15.7</v>
      </c>
      <c r="M288" s="40">
        <v>960551</v>
      </c>
    </row>
    <row r="289" spans="1:13" x14ac:dyDescent="0.6">
      <c r="A289" s="41">
        <v>37956</v>
      </c>
      <c r="B289" s="40">
        <v>4.3948999999999998</v>
      </c>
      <c r="C289" s="40">
        <v>1.1399999999999999</v>
      </c>
      <c r="D289" s="40">
        <v>1000.45</v>
      </c>
      <c r="E289" s="40">
        <v>2826.65</v>
      </c>
      <c r="F289" s="40">
        <v>22.2</v>
      </c>
      <c r="G289" s="40">
        <v>12941130</v>
      </c>
      <c r="H289" s="40">
        <v>4.4680999999999997</v>
      </c>
      <c r="I289" s="40">
        <v>2.1562999999999999</v>
      </c>
      <c r="J289" s="40">
        <v>1535.03</v>
      </c>
      <c r="K289" s="40">
        <v>5040.21</v>
      </c>
      <c r="L289" s="40">
        <v>15.9</v>
      </c>
      <c r="M289" s="40">
        <v>972549</v>
      </c>
    </row>
    <row r="290" spans="1:13" x14ac:dyDescent="0.6">
      <c r="A290" s="41">
        <v>37987</v>
      </c>
      <c r="B290" s="40">
        <v>4.2637</v>
      </c>
      <c r="C290" s="40">
        <v>1.1100000000000001</v>
      </c>
      <c r="D290" s="40">
        <v>1033.24</v>
      </c>
      <c r="E290" s="40">
        <v>2923.76</v>
      </c>
      <c r="F290" s="40">
        <v>22.7</v>
      </c>
      <c r="G290" s="40">
        <v>13358490</v>
      </c>
      <c r="H290" s="40">
        <v>4.2922000000000002</v>
      </c>
      <c r="I290" s="40">
        <v>2.0937999999999999</v>
      </c>
      <c r="J290" s="40">
        <v>1551.4</v>
      </c>
      <c r="K290" s="40">
        <v>5108.88</v>
      </c>
      <c r="L290" s="40">
        <v>16</v>
      </c>
      <c r="M290" s="40">
        <v>981194</v>
      </c>
    </row>
    <row r="291" spans="1:13" x14ac:dyDescent="0.6">
      <c r="A291" s="41">
        <v>38018</v>
      </c>
      <c r="B291" s="40">
        <v>4.1536</v>
      </c>
      <c r="C291" s="40">
        <v>1.08</v>
      </c>
      <c r="D291" s="40">
        <v>1055.8900000000001</v>
      </c>
      <c r="E291" s="40">
        <v>2992.08</v>
      </c>
      <c r="F291" s="40">
        <v>22.5</v>
      </c>
      <c r="G291" s="40">
        <v>13679020</v>
      </c>
      <c r="H291" s="40">
        <v>4.2389999999999999</v>
      </c>
      <c r="I291" s="40">
        <v>2.0781000000000001</v>
      </c>
      <c r="J291" s="40">
        <v>1606.72</v>
      </c>
      <c r="K291" s="40">
        <v>5305.33</v>
      </c>
      <c r="L291" s="40">
        <v>16.399999999999999</v>
      </c>
      <c r="M291" s="40">
        <v>1018269</v>
      </c>
    </row>
    <row r="292" spans="1:13" x14ac:dyDescent="0.6">
      <c r="A292" s="41">
        <v>38047</v>
      </c>
      <c r="B292" s="40">
        <v>3.9946000000000002</v>
      </c>
      <c r="C292" s="40">
        <v>1.07</v>
      </c>
      <c r="D292" s="40">
        <v>1082.28</v>
      </c>
      <c r="E292" s="40">
        <v>3070.81</v>
      </c>
      <c r="F292" s="40">
        <v>22.1</v>
      </c>
      <c r="G292" s="40">
        <v>14039400</v>
      </c>
      <c r="H292" s="40">
        <v>4.0707000000000004</v>
      </c>
      <c r="I292" s="40">
        <v>2.0312999999999999</v>
      </c>
      <c r="J292" s="40">
        <v>1651.17</v>
      </c>
      <c r="K292" s="40">
        <v>5465.36</v>
      </c>
      <c r="L292" s="40">
        <v>16.899999999999999</v>
      </c>
      <c r="M292" s="40">
        <v>1046314</v>
      </c>
    </row>
    <row r="293" spans="1:13" x14ac:dyDescent="0.6">
      <c r="A293" s="41">
        <v>38078</v>
      </c>
      <c r="B293" s="40">
        <v>3.8996</v>
      </c>
      <c r="C293" s="40">
        <v>1.06</v>
      </c>
      <c r="D293" s="40">
        <v>1065.1099999999999</v>
      </c>
      <c r="E293" s="40">
        <v>3026.67</v>
      </c>
      <c r="F293" s="40">
        <v>21.8</v>
      </c>
      <c r="G293" s="40">
        <v>13766680</v>
      </c>
      <c r="H293" s="40">
        <v>3.9832000000000001</v>
      </c>
      <c r="I293" s="40">
        <v>1.9688000000000001</v>
      </c>
      <c r="J293" s="40">
        <v>1620.06</v>
      </c>
      <c r="K293" s="40">
        <v>5377.48</v>
      </c>
      <c r="L293" s="40">
        <v>16.600000000000001</v>
      </c>
      <c r="M293" s="40">
        <v>1026709</v>
      </c>
    </row>
    <row r="294" spans="1:13" x14ac:dyDescent="0.6">
      <c r="A294" s="41">
        <v>38108</v>
      </c>
      <c r="B294" s="40">
        <v>4.5026999999999999</v>
      </c>
      <c r="C294" s="40">
        <v>1.1000000000000001</v>
      </c>
      <c r="D294" s="40">
        <v>1049.81</v>
      </c>
      <c r="E294" s="40">
        <v>2987.5</v>
      </c>
      <c r="F294" s="40">
        <v>21</v>
      </c>
      <c r="G294" s="40">
        <v>13661930</v>
      </c>
      <c r="H294" s="40">
        <v>4.2182000000000004</v>
      </c>
      <c r="I294" s="40">
        <v>2.0781000000000001</v>
      </c>
      <c r="J294" s="40">
        <v>1627.37</v>
      </c>
      <c r="K294" s="40">
        <v>5416.28</v>
      </c>
      <c r="L294" s="40">
        <v>17</v>
      </c>
      <c r="M294" s="40">
        <v>1023290</v>
      </c>
    </row>
    <row r="295" spans="1:13" x14ac:dyDescent="0.6">
      <c r="A295" s="41">
        <v>38139</v>
      </c>
      <c r="B295" s="40">
        <v>4.7018000000000004</v>
      </c>
      <c r="C295" s="40">
        <v>1.26</v>
      </c>
      <c r="D295" s="40">
        <v>1051.2</v>
      </c>
      <c r="E295" s="40">
        <v>2995.76</v>
      </c>
      <c r="F295" s="40">
        <v>20.2</v>
      </c>
      <c r="G295" s="40">
        <v>13680020</v>
      </c>
      <c r="H295" s="40">
        <v>4.3930999999999996</v>
      </c>
      <c r="I295" s="40">
        <v>2.0625</v>
      </c>
      <c r="J295" s="40">
        <v>1588.96</v>
      </c>
      <c r="K295" s="40">
        <v>5303.24</v>
      </c>
      <c r="L295" s="40">
        <v>16.100000000000001</v>
      </c>
      <c r="M295" s="40">
        <v>999876</v>
      </c>
    </row>
    <row r="296" spans="1:13" x14ac:dyDescent="0.6">
      <c r="A296" s="41">
        <v>38169</v>
      </c>
      <c r="B296" s="40">
        <v>4.5625999999999998</v>
      </c>
      <c r="C296" s="40">
        <v>1.54</v>
      </c>
      <c r="D296" s="40">
        <v>1056.8699999999999</v>
      </c>
      <c r="E296" s="40">
        <v>3016.35</v>
      </c>
      <c r="F296" s="40">
        <v>19.8</v>
      </c>
      <c r="G296" s="40">
        <v>13759460</v>
      </c>
      <c r="H296" s="40">
        <v>4.3400999999999996</v>
      </c>
      <c r="I296" s="40">
        <v>2.1093999999999999</v>
      </c>
      <c r="J296" s="40">
        <v>1633.87</v>
      </c>
      <c r="K296" s="40">
        <v>5469</v>
      </c>
      <c r="L296" s="40">
        <v>16.7</v>
      </c>
      <c r="M296" s="40">
        <v>1024772</v>
      </c>
    </row>
    <row r="297" spans="1:13" x14ac:dyDescent="0.6">
      <c r="A297" s="41">
        <v>38200</v>
      </c>
      <c r="B297" s="40">
        <v>4.4524999999999997</v>
      </c>
      <c r="C297" s="40">
        <v>1.7250000000000001</v>
      </c>
      <c r="D297" s="40">
        <v>1031.47</v>
      </c>
      <c r="E297" s="40">
        <v>2948.32</v>
      </c>
      <c r="F297" s="40">
        <v>19.3</v>
      </c>
      <c r="G297" s="40">
        <v>13467220</v>
      </c>
      <c r="H297" s="40">
        <v>4.2146999999999997</v>
      </c>
      <c r="I297" s="40">
        <v>2.0937999999999999</v>
      </c>
      <c r="J297" s="40">
        <v>1597.52</v>
      </c>
      <c r="K297" s="40">
        <v>5365.03</v>
      </c>
      <c r="L297" s="40">
        <v>13.9</v>
      </c>
      <c r="M297" s="40">
        <v>1008978</v>
      </c>
    </row>
    <row r="298" spans="1:13" x14ac:dyDescent="0.6">
      <c r="A298" s="41">
        <v>38231</v>
      </c>
      <c r="B298" s="40">
        <v>4.1242999999999999</v>
      </c>
      <c r="C298" s="40">
        <v>1.75</v>
      </c>
      <c r="D298" s="40">
        <v>1035.69</v>
      </c>
      <c r="E298" s="40">
        <v>2964.99</v>
      </c>
      <c r="F298" s="40">
        <v>19</v>
      </c>
      <c r="G298" s="40">
        <v>13516480</v>
      </c>
      <c r="H298" s="40">
        <v>4.0530999999999997</v>
      </c>
      <c r="I298" s="40">
        <v>2.0937999999999999</v>
      </c>
      <c r="J298" s="40">
        <v>1593.46</v>
      </c>
      <c r="K298" s="40">
        <v>5369.91</v>
      </c>
      <c r="L298" s="40">
        <v>13.7</v>
      </c>
      <c r="M298" s="40">
        <v>986994</v>
      </c>
    </row>
    <row r="299" spans="1:13" x14ac:dyDescent="0.6">
      <c r="A299" s="41">
        <v>38261</v>
      </c>
      <c r="B299" s="40">
        <v>4.1893000000000002</v>
      </c>
      <c r="C299" s="40">
        <v>1.99</v>
      </c>
      <c r="D299" s="40">
        <v>1054.73</v>
      </c>
      <c r="E299" s="40">
        <v>3024.16</v>
      </c>
      <c r="F299" s="40">
        <v>19.3</v>
      </c>
      <c r="G299" s="40">
        <v>13750530</v>
      </c>
      <c r="H299" s="40">
        <v>4.0294999999999996</v>
      </c>
      <c r="I299" s="40">
        <v>2.1406000000000001</v>
      </c>
      <c r="J299" s="40">
        <v>1645.39</v>
      </c>
      <c r="K299" s="40">
        <v>5563.62</v>
      </c>
      <c r="L299" s="40">
        <v>14</v>
      </c>
      <c r="M299" s="40">
        <v>1020839</v>
      </c>
    </row>
    <row r="300" spans="1:13" x14ac:dyDescent="0.6">
      <c r="A300" s="41">
        <v>38292</v>
      </c>
      <c r="B300" s="40">
        <v>4.0896999999999997</v>
      </c>
      <c r="C300" s="40">
        <v>2.14</v>
      </c>
      <c r="D300" s="40">
        <v>1052.3699999999999</v>
      </c>
      <c r="E300" s="40">
        <v>3021.89</v>
      </c>
      <c r="F300" s="40">
        <v>19.3</v>
      </c>
      <c r="G300" s="40">
        <v>13735060</v>
      </c>
      <c r="H300" s="40">
        <v>3.8673000000000002</v>
      </c>
      <c r="I300" s="40">
        <v>2.125</v>
      </c>
      <c r="J300" s="40">
        <v>1652.39</v>
      </c>
      <c r="K300" s="40">
        <v>5605.52</v>
      </c>
      <c r="L300" s="40">
        <v>13.1</v>
      </c>
      <c r="M300" s="40">
        <v>1030157</v>
      </c>
    </row>
    <row r="301" spans="1:13" x14ac:dyDescent="0.6">
      <c r="A301" s="41">
        <v>38322</v>
      </c>
      <c r="B301" s="40">
        <v>4.3787000000000003</v>
      </c>
      <c r="C301" s="40">
        <v>2.375</v>
      </c>
      <c r="D301" s="40">
        <v>1110.1600000000001</v>
      </c>
      <c r="E301" s="40">
        <v>3192.69</v>
      </c>
      <c r="F301" s="40">
        <v>19.899999999999999</v>
      </c>
      <c r="G301" s="40">
        <v>14529840</v>
      </c>
      <c r="H301" s="40">
        <v>3.7831000000000001</v>
      </c>
      <c r="I301" s="40">
        <v>2.1562999999999999</v>
      </c>
      <c r="J301" s="40">
        <v>1681.26</v>
      </c>
      <c r="K301" s="40">
        <v>5722.76</v>
      </c>
      <c r="L301" s="40">
        <v>13</v>
      </c>
      <c r="M301" s="40">
        <v>1042773</v>
      </c>
    </row>
    <row r="302" spans="1:13" x14ac:dyDescent="0.6">
      <c r="A302" s="41">
        <v>38353</v>
      </c>
      <c r="B302" s="40">
        <v>4.2195999999999998</v>
      </c>
      <c r="C302" s="40">
        <v>2.5499999999999998</v>
      </c>
      <c r="D302" s="40">
        <v>1125.9000000000001</v>
      </c>
      <c r="E302" s="40">
        <v>3243.06</v>
      </c>
      <c r="F302" s="40">
        <v>20.100000000000001</v>
      </c>
      <c r="G302" s="40">
        <v>14691980</v>
      </c>
      <c r="H302" s="40">
        <v>3.6280000000000001</v>
      </c>
      <c r="I302" s="40">
        <v>2.1406000000000001</v>
      </c>
      <c r="J302" s="40">
        <v>1716.56</v>
      </c>
      <c r="K302" s="40">
        <v>5863.5</v>
      </c>
      <c r="L302" s="40">
        <v>13.2</v>
      </c>
      <c r="M302" s="40">
        <v>1066059</v>
      </c>
    </row>
    <row r="303" spans="1:13" x14ac:dyDescent="0.6">
      <c r="A303" s="41">
        <v>38384</v>
      </c>
      <c r="B303" s="40">
        <v>4.1378000000000004</v>
      </c>
      <c r="C303" s="40">
        <v>2.74</v>
      </c>
      <c r="D303" s="40">
        <v>1118.6500000000001</v>
      </c>
      <c r="E303" s="40">
        <v>3226.9</v>
      </c>
      <c r="F303" s="40">
        <v>19.5</v>
      </c>
      <c r="G303" s="40">
        <v>14605190</v>
      </c>
      <c r="H303" s="40">
        <v>3.5283000000000002</v>
      </c>
      <c r="I303" s="40">
        <v>2.125</v>
      </c>
      <c r="J303" s="40">
        <v>1760.62</v>
      </c>
      <c r="K303" s="40">
        <v>6026.79</v>
      </c>
      <c r="L303" s="40">
        <v>13.6</v>
      </c>
      <c r="M303" s="40">
        <v>1096563</v>
      </c>
    </row>
    <row r="304" spans="1:13" x14ac:dyDescent="0.6">
      <c r="A304" s="41">
        <v>38412</v>
      </c>
      <c r="B304" s="40">
        <v>4.3745000000000003</v>
      </c>
      <c r="C304" s="40">
        <v>2.8774999999999999</v>
      </c>
      <c r="D304" s="40">
        <v>1138.82</v>
      </c>
      <c r="E304" s="40">
        <v>3289.62</v>
      </c>
      <c r="F304" s="40">
        <v>19.600000000000001</v>
      </c>
      <c r="G304" s="40">
        <v>14878390</v>
      </c>
      <c r="H304" s="40">
        <v>3.7166000000000001</v>
      </c>
      <c r="I304" s="40">
        <v>2.125</v>
      </c>
      <c r="J304" s="40">
        <v>1811.35</v>
      </c>
      <c r="K304" s="40">
        <v>6212.58</v>
      </c>
      <c r="L304" s="40">
        <v>14.4</v>
      </c>
      <c r="M304" s="40">
        <v>1128571</v>
      </c>
    </row>
    <row r="305" spans="1:13" x14ac:dyDescent="0.6">
      <c r="A305" s="41">
        <v>38443</v>
      </c>
      <c r="B305" s="40">
        <v>4.4550000000000001</v>
      </c>
      <c r="C305" s="40">
        <v>3.03</v>
      </c>
      <c r="D305" s="40">
        <v>1106.4000000000001</v>
      </c>
      <c r="E305" s="40">
        <v>3201.12</v>
      </c>
      <c r="F305" s="40">
        <v>19</v>
      </c>
      <c r="G305" s="40">
        <v>14468010</v>
      </c>
      <c r="H305" s="40">
        <v>3.5987</v>
      </c>
      <c r="I305" s="40">
        <v>2.1406000000000001</v>
      </c>
      <c r="J305" s="40">
        <v>1817.59</v>
      </c>
      <c r="K305" s="40">
        <v>6248.46</v>
      </c>
      <c r="L305" s="40">
        <v>15</v>
      </c>
      <c r="M305" s="40">
        <v>1134598</v>
      </c>
    </row>
    <row r="306" spans="1:13" x14ac:dyDescent="0.6">
      <c r="A306" s="41">
        <v>38473</v>
      </c>
      <c r="B306" s="40">
        <v>4.1963999999999997</v>
      </c>
      <c r="C306" s="40">
        <v>3.19</v>
      </c>
      <c r="D306" s="40">
        <v>1099.1199999999999</v>
      </c>
      <c r="E306" s="40">
        <v>3184.89</v>
      </c>
      <c r="F306" s="40">
        <v>18.600000000000001</v>
      </c>
      <c r="G306" s="40">
        <v>14366940</v>
      </c>
      <c r="H306" s="40">
        <v>3.4468999999999999</v>
      </c>
      <c r="I306" s="40">
        <v>2.1093999999999999</v>
      </c>
      <c r="J306" s="40">
        <v>1760.99</v>
      </c>
      <c r="K306" s="40">
        <v>6067.57</v>
      </c>
      <c r="L306" s="40">
        <v>14.2</v>
      </c>
      <c r="M306" s="40">
        <v>1099754</v>
      </c>
    </row>
    <row r="307" spans="1:13" x14ac:dyDescent="0.6">
      <c r="A307" s="41">
        <v>38504</v>
      </c>
      <c r="B307" s="40">
        <v>3.907</v>
      </c>
      <c r="C307" s="40">
        <v>3.27</v>
      </c>
      <c r="D307" s="40">
        <v>1139.8800000000001</v>
      </c>
      <c r="E307" s="40">
        <v>3308.23</v>
      </c>
      <c r="F307" s="40">
        <v>19.100000000000001</v>
      </c>
      <c r="G307" s="40">
        <v>14891420</v>
      </c>
      <c r="H307" s="40">
        <v>3.2401</v>
      </c>
      <c r="I307" s="40">
        <v>2.1093999999999999</v>
      </c>
      <c r="J307" s="40">
        <v>1863.84</v>
      </c>
      <c r="K307" s="40">
        <v>6437.37</v>
      </c>
      <c r="L307" s="40">
        <v>14.1</v>
      </c>
      <c r="M307" s="40">
        <v>1163123</v>
      </c>
    </row>
    <row r="308" spans="1:13" x14ac:dyDescent="0.6">
      <c r="A308" s="41">
        <v>38534</v>
      </c>
      <c r="B308" s="40">
        <v>4.0385999999999997</v>
      </c>
      <c r="C308" s="40">
        <v>3.5049999999999999</v>
      </c>
      <c r="D308" s="40">
        <v>1135.3699999999999</v>
      </c>
      <c r="E308" s="40">
        <v>3300.28</v>
      </c>
      <c r="F308" s="40">
        <v>19</v>
      </c>
      <c r="G308" s="40">
        <v>14823420</v>
      </c>
      <c r="H308" s="40">
        <v>3.1528</v>
      </c>
      <c r="I308" s="40">
        <v>2.0937999999999999</v>
      </c>
      <c r="J308" s="40">
        <v>1912.03</v>
      </c>
      <c r="K308" s="40">
        <v>6619.6</v>
      </c>
      <c r="L308" s="40">
        <v>13.9</v>
      </c>
      <c r="M308" s="40">
        <v>1191654</v>
      </c>
    </row>
    <row r="309" spans="1:13" x14ac:dyDescent="0.6">
      <c r="A309" s="41">
        <v>38565</v>
      </c>
      <c r="B309" s="40">
        <v>4.3183999999999996</v>
      </c>
      <c r="C309" s="40">
        <v>3.69</v>
      </c>
      <c r="D309" s="40">
        <v>1175.28</v>
      </c>
      <c r="E309" s="40">
        <v>3421.31</v>
      </c>
      <c r="F309" s="40">
        <v>19</v>
      </c>
      <c r="G309" s="40">
        <v>15335110</v>
      </c>
      <c r="H309" s="40">
        <v>3.3041999999999998</v>
      </c>
      <c r="I309" s="40">
        <v>2.1093999999999999</v>
      </c>
      <c r="J309" s="40">
        <v>1998.41</v>
      </c>
      <c r="K309" s="40">
        <v>6933.96</v>
      </c>
      <c r="L309" s="40">
        <v>14.7</v>
      </c>
      <c r="M309" s="40">
        <v>1264620</v>
      </c>
    </row>
    <row r="310" spans="1:13" x14ac:dyDescent="0.6">
      <c r="A310" s="41">
        <v>38596</v>
      </c>
      <c r="B310" s="40">
        <v>4.0155000000000003</v>
      </c>
      <c r="C310" s="40">
        <v>3.73</v>
      </c>
      <c r="D310" s="40">
        <v>1163.72</v>
      </c>
      <c r="E310" s="40">
        <v>3393.15</v>
      </c>
      <c r="F310" s="40">
        <v>18.600000000000001</v>
      </c>
      <c r="G310" s="40">
        <v>15148230</v>
      </c>
      <c r="H310" s="40">
        <v>3.1013000000000002</v>
      </c>
      <c r="I310" s="40">
        <v>2.125</v>
      </c>
      <c r="J310" s="40">
        <v>1992.11</v>
      </c>
      <c r="K310" s="40">
        <v>6928.62</v>
      </c>
      <c r="L310" s="40">
        <v>14.6</v>
      </c>
      <c r="M310" s="40">
        <v>1261748</v>
      </c>
    </row>
    <row r="311" spans="1:13" x14ac:dyDescent="0.6">
      <c r="A311" s="41">
        <v>38626</v>
      </c>
      <c r="B311" s="40">
        <v>4.3834999999999997</v>
      </c>
      <c r="C311" s="40">
        <v>4.0449999999999999</v>
      </c>
      <c r="D311" s="40">
        <v>1171.1300000000001</v>
      </c>
      <c r="E311" s="40">
        <v>3420.11</v>
      </c>
      <c r="F311" s="40">
        <v>18.7</v>
      </c>
      <c r="G311" s="40">
        <v>15252900</v>
      </c>
      <c r="H311" s="40">
        <v>3.2320000000000002</v>
      </c>
      <c r="I311" s="40">
        <v>2.1718999999999999</v>
      </c>
      <c r="J311" s="40">
        <v>2085.4299999999998</v>
      </c>
      <c r="K311" s="40">
        <v>7269.64</v>
      </c>
      <c r="L311" s="40">
        <v>14.9</v>
      </c>
      <c r="M311" s="40">
        <v>1327053</v>
      </c>
    </row>
    <row r="312" spans="1:13" x14ac:dyDescent="0.6">
      <c r="A312" s="41">
        <v>38657</v>
      </c>
      <c r="B312" s="40">
        <v>4.5770999999999997</v>
      </c>
      <c r="C312" s="40">
        <v>4.2300000000000004</v>
      </c>
      <c r="D312" s="40">
        <v>1145.1199999999999</v>
      </c>
      <c r="E312" s="40">
        <v>3349.32</v>
      </c>
      <c r="F312" s="40">
        <v>17.899999999999999</v>
      </c>
      <c r="G312" s="40">
        <v>14967010</v>
      </c>
      <c r="H312" s="40">
        <v>3.4456000000000002</v>
      </c>
      <c r="I312" s="40">
        <v>2.2343999999999999</v>
      </c>
      <c r="J312" s="40">
        <v>2000.13</v>
      </c>
      <c r="K312" s="40">
        <v>6988.07</v>
      </c>
      <c r="L312" s="40">
        <v>14.2</v>
      </c>
      <c r="M312" s="40">
        <v>1274023</v>
      </c>
    </row>
    <row r="313" spans="1:13" x14ac:dyDescent="0.6">
      <c r="A313" s="41">
        <v>38687</v>
      </c>
      <c r="B313" s="40">
        <v>4.5232999999999999</v>
      </c>
      <c r="C313" s="40">
        <v>4.4050000000000002</v>
      </c>
      <c r="D313" s="40">
        <v>1201.6400000000001</v>
      </c>
      <c r="E313" s="40">
        <v>3520.1</v>
      </c>
      <c r="F313" s="40">
        <v>18.8</v>
      </c>
      <c r="G313" s="40">
        <v>15704970</v>
      </c>
      <c r="H313" s="40">
        <v>3.4051</v>
      </c>
      <c r="I313" s="40">
        <v>2.4218999999999999</v>
      </c>
      <c r="J313" s="40">
        <v>2084.6999999999998</v>
      </c>
      <c r="K313" s="40">
        <v>7300.22</v>
      </c>
      <c r="L313" s="40">
        <v>15</v>
      </c>
      <c r="M313" s="40">
        <v>1388904</v>
      </c>
    </row>
    <row r="314" spans="1:13" x14ac:dyDescent="0.6">
      <c r="A314" s="41">
        <v>38718</v>
      </c>
      <c r="B314" s="40">
        <v>4.3975999999999997</v>
      </c>
      <c r="C314" s="40">
        <v>4.54</v>
      </c>
      <c r="D314" s="40">
        <v>1188.4000000000001</v>
      </c>
      <c r="E314" s="40">
        <v>3486.75</v>
      </c>
      <c r="F314" s="40">
        <v>18.5</v>
      </c>
      <c r="G314" s="40">
        <v>15516860</v>
      </c>
      <c r="H314" s="40">
        <v>3.3384</v>
      </c>
      <c r="I314" s="40">
        <v>2.4687999999999999</v>
      </c>
      <c r="J314" s="40">
        <v>2141.46</v>
      </c>
      <c r="K314" s="40">
        <v>7515.34</v>
      </c>
      <c r="L314" s="40">
        <v>15.2</v>
      </c>
      <c r="M314" s="40">
        <v>1424526</v>
      </c>
    </row>
    <row r="315" spans="1:13" x14ac:dyDescent="0.6">
      <c r="A315" s="41">
        <v>38749</v>
      </c>
      <c r="B315" s="40">
        <v>4.5644999999999998</v>
      </c>
      <c r="C315" s="40">
        <v>4.67</v>
      </c>
      <c r="D315" s="40">
        <v>1224.1300000000001</v>
      </c>
      <c r="E315" s="40">
        <v>3597</v>
      </c>
      <c r="F315" s="40">
        <v>18.899999999999999</v>
      </c>
      <c r="G315" s="40">
        <v>15262770</v>
      </c>
      <c r="H315" s="40">
        <v>3.5255999999999998</v>
      </c>
      <c r="I315" s="40">
        <v>2.5468999999999999</v>
      </c>
      <c r="J315" s="40">
        <v>2255.9499999999998</v>
      </c>
      <c r="K315" s="40">
        <v>7933.76</v>
      </c>
      <c r="L315" s="40">
        <v>15.5</v>
      </c>
      <c r="M315" s="40">
        <v>1500795</v>
      </c>
    </row>
    <row r="316" spans="1:13" x14ac:dyDescent="0.6">
      <c r="A316" s="41">
        <v>38777</v>
      </c>
      <c r="B316" s="40">
        <v>4.5906000000000002</v>
      </c>
      <c r="C316" s="40">
        <v>4.8099999999999996</v>
      </c>
      <c r="D316" s="40">
        <v>1231.57</v>
      </c>
      <c r="E316" s="40">
        <v>3623.82</v>
      </c>
      <c r="F316" s="40">
        <v>18.8</v>
      </c>
      <c r="G316" s="40">
        <v>15342360</v>
      </c>
      <c r="H316" s="40">
        <v>3.5436000000000001</v>
      </c>
      <c r="I316" s="40">
        <v>2.6718999999999999</v>
      </c>
      <c r="J316" s="40">
        <v>2318.96</v>
      </c>
      <c r="K316" s="40">
        <v>8170.61</v>
      </c>
      <c r="L316" s="40">
        <v>15.9</v>
      </c>
      <c r="M316" s="40">
        <v>1543199</v>
      </c>
    </row>
    <row r="317" spans="1:13" x14ac:dyDescent="0.6">
      <c r="A317" s="41">
        <v>38808</v>
      </c>
      <c r="B317" s="40">
        <v>4.8776999999999999</v>
      </c>
      <c r="C317" s="40">
        <v>4.9800000000000004</v>
      </c>
      <c r="D317" s="40">
        <v>1240.1400000000001</v>
      </c>
      <c r="E317" s="40">
        <v>3654.79</v>
      </c>
      <c r="F317" s="40">
        <v>18.8</v>
      </c>
      <c r="G317" s="40">
        <v>15451990</v>
      </c>
      <c r="H317" s="40">
        <v>3.8525</v>
      </c>
      <c r="I317" s="40">
        <v>2.8281000000000001</v>
      </c>
      <c r="J317" s="40">
        <v>2424.0100000000002</v>
      </c>
      <c r="K317" s="40">
        <v>8559.5300000000007</v>
      </c>
      <c r="L317" s="40">
        <v>16.5</v>
      </c>
      <c r="M317" s="40">
        <v>1611943</v>
      </c>
    </row>
    <row r="318" spans="1:13" x14ac:dyDescent="0.6">
      <c r="A318" s="41">
        <v>38838</v>
      </c>
      <c r="B318" s="40">
        <v>5.1321000000000003</v>
      </c>
      <c r="C318" s="40">
        <v>5.09</v>
      </c>
      <c r="D318" s="40">
        <v>1245.17</v>
      </c>
      <c r="E318" s="40">
        <v>3674.63</v>
      </c>
      <c r="F318" s="40">
        <v>18.3</v>
      </c>
      <c r="G318" s="40">
        <v>15558270</v>
      </c>
      <c r="H318" s="40">
        <v>3.9927999999999999</v>
      </c>
      <c r="I318" s="40">
        <v>2.8125</v>
      </c>
      <c r="J318" s="40">
        <v>2394.9</v>
      </c>
      <c r="K318" s="40">
        <v>8473.7900000000009</v>
      </c>
      <c r="L318" s="40">
        <v>15.1</v>
      </c>
      <c r="M318" s="40">
        <v>1588107</v>
      </c>
    </row>
    <row r="319" spans="1:13" x14ac:dyDescent="0.6">
      <c r="A319" s="41">
        <v>38869</v>
      </c>
      <c r="B319" s="40">
        <v>5.1059999999999999</v>
      </c>
      <c r="C319" s="40">
        <v>5.24</v>
      </c>
      <c r="D319" s="40">
        <v>1226.5</v>
      </c>
      <c r="E319" s="40">
        <v>3625.43</v>
      </c>
      <c r="F319" s="40">
        <v>17.7</v>
      </c>
      <c r="G319" s="40">
        <v>15305130</v>
      </c>
      <c r="H319" s="40">
        <v>3.9702999999999999</v>
      </c>
      <c r="I319" s="40">
        <v>2.9062999999999999</v>
      </c>
      <c r="J319" s="40">
        <v>2265.2399999999998</v>
      </c>
      <c r="K319" s="40">
        <v>8034.47</v>
      </c>
      <c r="L319" s="40">
        <v>13.9</v>
      </c>
      <c r="M319" s="40">
        <v>1503659</v>
      </c>
    </row>
    <row r="320" spans="1:13" x14ac:dyDescent="0.6">
      <c r="A320" s="41">
        <v>38899</v>
      </c>
      <c r="B320" s="40">
        <v>5.1505999999999998</v>
      </c>
      <c r="C320" s="40">
        <v>5.45</v>
      </c>
      <c r="D320" s="40">
        <v>1224.5899999999999</v>
      </c>
      <c r="E320" s="40">
        <v>3625.63</v>
      </c>
      <c r="F320" s="40">
        <v>17.600000000000001</v>
      </c>
      <c r="G320" s="40">
        <v>15241460</v>
      </c>
      <c r="H320" s="40">
        <v>4.0948000000000002</v>
      </c>
      <c r="I320" s="40">
        <v>3.0350000000000001</v>
      </c>
      <c r="J320" s="40">
        <v>2269.29</v>
      </c>
      <c r="K320" s="40">
        <v>8069.58</v>
      </c>
      <c r="L320" s="40">
        <v>13.6</v>
      </c>
      <c r="M320" s="40">
        <v>1512027</v>
      </c>
    </row>
    <row r="321" spans="1:13" x14ac:dyDescent="0.6">
      <c r="A321" s="41">
        <v>38930</v>
      </c>
      <c r="B321" s="40">
        <v>4.9817999999999998</v>
      </c>
      <c r="C321" s="40">
        <v>5.44</v>
      </c>
      <c r="D321" s="40">
        <v>1212.3399999999999</v>
      </c>
      <c r="E321" s="40">
        <v>3594.8</v>
      </c>
      <c r="F321" s="40">
        <v>17</v>
      </c>
      <c r="G321" s="40">
        <v>15072420</v>
      </c>
      <c r="H321" s="40">
        <v>3.9356</v>
      </c>
      <c r="I321" s="40">
        <v>3.1549999999999998</v>
      </c>
      <c r="J321" s="40">
        <v>2255.9</v>
      </c>
      <c r="K321" s="40">
        <v>8041.43</v>
      </c>
      <c r="L321" s="40">
        <v>13.4</v>
      </c>
      <c r="M321" s="40">
        <v>1516340</v>
      </c>
    </row>
    <row r="322" spans="1:13" x14ac:dyDescent="0.6">
      <c r="A322" s="41">
        <v>38961</v>
      </c>
      <c r="B322" s="40">
        <v>4.7233999999999998</v>
      </c>
      <c r="C322" s="40">
        <v>5.3550000000000004</v>
      </c>
      <c r="D322" s="40">
        <v>1251.6400000000001</v>
      </c>
      <c r="E322" s="40">
        <v>3717.44</v>
      </c>
      <c r="F322" s="40">
        <v>17.5</v>
      </c>
      <c r="G322" s="40">
        <v>15521350</v>
      </c>
      <c r="H322" s="40">
        <v>3.7401</v>
      </c>
      <c r="I322" s="40">
        <v>3.2450000000000001</v>
      </c>
      <c r="J322" s="40">
        <v>2360.59</v>
      </c>
      <c r="K322" s="40">
        <v>8436.1</v>
      </c>
      <c r="L322" s="40">
        <v>14.1</v>
      </c>
      <c r="M322" s="40">
        <v>1587167</v>
      </c>
    </row>
    <row r="323" spans="1:13" x14ac:dyDescent="0.6">
      <c r="A323" s="41">
        <v>38991</v>
      </c>
      <c r="B323" s="40">
        <v>4.6158000000000001</v>
      </c>
      <c r="C323" s="40">
        <v>5.3150000000000004</v>
      </c>
      <c r="D323" s="40">
        <v>1266.74</v>
      </c>
      <c r="E323" s="40">
        <v>3767.82</v>
      </c>
      <c r="F323" s="40">
        <v>17.600000000000001</v>
      </c>
      <c r="G323" s="40">
        <v>15643410</v>
      </c>
      <c r="H323" s="40">
        <v>3.6918000000000002</v>
      </c>
      <c r="I323" s="40">
        <v>3.415</v>
      </c>
      <c r="J323" s="40">
        <v>2396.2199999999998</v>
      </c>
      <c r="K323" s="40">
        <v>8583.11</v>
      </c>
      <c r="L323" s="40">
        <v>14.1</v>
      </c>
      <c r="M323" s="40">
        <v>1611552</v>
      </c>
    </row>
    <row r="324" spans="1:13" x14ac:dyDescent="0.6">
      <c r="A324" s="41">
        <v>39022</v>
      </c>
      <c r="B324" s="40">
        <v>4.5590999999999999</v>
      </c>
      <c r="C324" s="40">
        <v>5.31</v>
      </c>
      <c r="D324" s="40">
        <v>1303.74</v>
      </c>
      <c r="E324" s="40">
        <v>3883.7</v>
      </c>
      <c r="F324" s="40">
        <v>17.8</v>
      </c>
      <c r="G324" s="40">
        <v>16097020</v>
      </c>
      <c r="H324" s="40">
        <v>3.7143999999999999</v>
      </c>
      <c r="I324" s="40">
        <v>3.5449999999999999</v>
      </c>
      <c r="J324" s="40">
        <v>2457.16</v>
      </c>
      <c r="K324" s="40">
        <v>8821.82</v>
      </c>
      <c r="L324" s="40">
        <v>14.5</v>
      </c>
      <c r="M324" s="40">
        <v>1653769</v>
      </c>
    </row>
    <row r="325" spans="1:13" x14ac:dyDescent="0.6">
      <c r="A325" s="41">
        <v>39052</v>
      </c>
      <c r="B325" s="40">
        <v>4.4288999999999996</v>
      </c>
      <c r="C325" s="40">
        <v>5.33</v>
      </c>
      <c r="D325" s="40">
        <v>1340.93</v>
      </c>
      <c r="E325" s="40">
        <v>4000.4</v>
      </c>
      <c r="F325" s="40">
        <v>18</v>
      </c>
      <c r="G325" s="40">
        <v>16507850</v>
      </c>
      <c r="H325" s="40">
        <v>3.6650999999999998</v>
      </c>
      <c r="I325" s="40">
        <v>3.6150000000000002</v>
      </c>
      <c r="J325" s="40">
        <v>2436.4699999999998</v>
      </c>
      <c r="K325" s="40">
        <v>8767.26</v>
      </c>
      <c r="L325" s="40">
        <v>14.6</v>
      </c>
      <c r="M325" s="40">
        <v>1665232</v>
      </c>
    </row>
    <row r="326" spans="1:13" x14ac:dyDescent="0.6">
      <c r="A326" s="41">
        <v>39083</v>
      </c>
      <c r="B326" s="40">
        <v>4.71</v>
      </c>
      <c r="C326" s="40">
        <v>5.3</v>
      </c>
      <c r="D326" s="40">
        <v>1358.87</v>
      </c>
      <c r="E326" s="40">
        <v>4059.62</v>
      </c>
      <c r="F326" s="40">
        <v>18.2</v>
      </c>
      <c r="G326" s="40">
        <v>16692310</v>
      </c>
      <c r="H326" s="40">
        <v>3.9784000000000002</v>
      </c>
      <c r="I326" s="40">
        <v>3.6949999999999998</v>
      </c>
      <c r="J326" s="40">
        <v>2567.3200000000002</v>
      </c>
      <c r="K326" s="40">
        <v>9257.61</v>
      </c>
      <c r="L326" s="40">
        <v>15.4</v>
      </c>
      <c r="M326" s="40">
        <v>1753977</v>
      </c>
    </row>
    <row r="327" spans="1:13" x14ac:dyDescent="0.6">
      <c r="A327" s="41">
        <v>39114</v>
      </c>
      <c r="B327" s="40">
        <v>4.8380000000000001</v>
      </c>
      <c r="C327" s="40">
        <v>5.32</v>
      </c>
      <c r="D327" s="40">
        <v>1396.71</v>
      </c>
      <c r="E327" s="40">
        <v>4179.13</v>
      </c>
      <c r="F327" s="40">
        <v>18.600000000000001</v>
      </c>
      <c r="G327" s="40">
        <v>17159060</v>
      </c>
      <c r="H327" s="40">
        <v>4.1295999999999999</v>
      </c>
      <c r="I327" s="40">
        <v>3.7650000000000001</v>
      </c>
      <c r="J327" s="40">
        <v>2629.58</v>
      </c>
      <c r="K327" s="40">
        <v>9503.48</v>
      </c>
      <c r="L327" s="40">
        <v>15.9</v>
      </c>
      <c r="M327" s="40">
        <v>1813810</v>
      </c>
    </row>
    <row r="328" spans="1:13" x14ac:dyDescent="0.6">
      <c r="A328" s="41">
        <v>39142</v>
      </c>
      <c r="B328" s="40">
        <v>4.5578000000000003</v>
      </c>
      <c r="C328" s="40">
        <v>5.3</v>
      </c>
      <c r="D328" s="40">
        <v>1359</v>
      </c>
      <c r="E328" s="40">
        <v>4071.74</v>
      </c>
      <c r="F328" s="40">
        <v>17.8</v>
      </c>
      <c r="G328" s="40">
        <v>16663420</v>
      </c>
      <c r="H328" s="40">
        <v>4.0118999999999998</v>
      </c>
      <c r="I328" s="40">
        <v>3.835</v>
      </c>
      <c r="J328" s="40">
        <v>2545.8200000000002</v>
      </c>
      <c r="K328" s="40">
        <v>9218.3799999999992</v>
      </c>
      <c r="L328" s="40">
        <v>15.3</v>
      </c>
      <c r="M328" s="40">
        <v>1758456</v>
      </c>
    </row>
    <row r="329" spans="1:13" x14ac:dyDescent="0.6">
      <c r="A329" s="41">
        <v>39173</v>
      </c>
      <c r="B329" s="40">
        <v>4.6459000000000001</v>
      </c>
      <c r="C329" s="40">
        <v>5.2949999999999999</v>
      </c>
      <c r="D329" s="40">
        <v>1379.75</v>
      </c>
      <c r="E329" s="40">
        <v>4140.2700000000004</v>
      </c>
      <c r="F329" s="40">
        <v>17.899999999999999</v>
      </c>
      <c r="G329" s="40">
        <v>16832020</v>
      </c>
      <c r="H329" s="40">
        <v>4.1173000000000002</v>
      </c>
      <c r="I329" s="40">
        <v>3.9049999999999998</v>
      </c>
      <c r="J329" s="40">
        <v>2661.61</v>
      </c>
      <c r="K329" s="40">
        <v>9658.9500000000007</v>
      </c>
      <c r="L329" s="40">
        <v>15.7</v>
      </c>
      <c r="M329" s="40">
        <v>1839954</v>
      </c>
    </row>
    <row r="330" spans="1:13" x14ac:dyDescent="0.6">
      <c r="A330" s="41">
        <v>39203</v>
      </c>
      <c r="B330" s="40">
        <v>4.6433999999999997</v>
      </c>
      <c r="C330" s="40">
        <v>5.3049999999999997</v>
      </c>
      <c r="D330" s="40">
        <v>1429.89</v>
      </c>
      <c r="E330" s="40">
        <v>4296.78</v>
      </c>
      <c r="F330" s="40">
        <v>18.5</v>
      </c>
      <c r="G330" s="40">
        <v>17475200</v>
      </c>
      <c r="H330" s="40">
        <v>4.1947999999999999</v>
      </c>
      <c r="I330" s="40">
        <v>3.9950000000000001</v>
      </c>
      <c r="J330" s="40">
        <v>2780.25</v>
      </c>
      <c r="K330" s="40">
        <v>10110.9</v>
      </c>
      <c r="L330" s="40">
        <v>16.100000000000001</v>
      </c>
      <c r="M330" s="40">
        <v>1915504</v>
      </c>
    </row>
    <row r="331" spans="1:13" x14ac:dyDescent="0.6">
      <c r="A331" s="41">
        <v>39234</v>
      </c>
      <c r="B331" s="40">
        <v>4.9512999999999998</v>
      </c>
      <c r="C331" s="40">
        <v>5.3049999999999997</v>
      </c>
      <c r="D331" s="40">
        <v>1478.82</v>
      </c>
      <c r="E331" s="40">
        <v>4450.54</v>
      </c>
      <c r="F331" s="40">
        <v>18.5</v>
      </c>
      <c r="G331" s="40">
        <v>18042750</v>
      </c>
      <c r="H331" s="40">
        <v>4.4936999999999996</v>
      </c>
      <c r="I331" s="40">
        <v>4.1050000000000004</v>
      </c>
      <c r="J331" s="40">
        <v>2877.5</v>
      </c>
      <c r="K331" s="40">
        <v>10488.44</v>
      </c>
      <c r="L331" s="40">
        <v>16.5</v>
      </c>
      <c r="M331" s="40">
        <v>1954722</v>
      </c>
    </row>
    <row r="332" spans="1:13" x14ac:dyDescent="0.6">
      <c r="A332" s="41">
        <v>39264</v>
      </c>
      <c r="B332" s="40">
        <v>4.9943999999999997</v>
      </c>
      <c r="C332" s="40">
        <v>5.3150000000000004</v>
      </c>
      <c r="D332" s="40">
        <v>1461.02</v>
      </c>
      <c r="E332" s="40">
        <v>4403.1099999999997</v>
      </c>
      <c r="F332" s="40">
        <v>18.3</v>
      </c>
      <c r="G332" s="40">
        <v>17721230</v>
      </c>
      <c r="H332" s="40">
        <v>4.5572999999999997</v>
      </c>
      <c r="I332" s="40">
        <v>4.1500000000000004</v>
      </c>
      <c r="J332" s="40">
        <v>2824.01</v>
      </c>
      <c r="K332" s="40">
        <v>10315.700000000001</v>
      </c>
      <c r="L332" s="40">
        <v>16.3</v>
      </c>
      <c r="M332" s="40">
        <v>1928818</v>
      </c>
    </row>
    <row r="333" spans="1:13" x14ac:dyDescent="0.6">
      <c r="A333" s="41">
        <v>39295</v>
      </c>
      <c r="B333" s="40">
        <v>4.7606999999999999</v>
      </c>
      <c r="C333" s="40">
        <v>5.33</v>
      </c>
      <c r="D333" s="40">
        <v>1408.38</v>
      </c>
      <c r="E333" s="40">
        <v>4250.68</v>
      </c>
      <c r="F333" s="40">
        <v>17.399999999999999</v>
      </c>
      <c r="G333" s="40">
        <v>17021340</v>
      </c>
      <c r="H333" s="40">
        <v>4.4351000000000003</v>
      </c>
      <c r="I333" s="40">
        <v>4.2549999999999999</v>
      </c>
      <c r="J333" s="40">
        <v>2655.18</v>
      </c>
      <c r="K333" s="40">
        <v>9721.18</v>
      </c>
      <c r="L333" s="40">
        <v>15.4</v>
      </c>
      <c r="M333" s="40">
        <v>1817121</v>
      </c>
    </row>
    <row r="334" spans="1:13" x14ac:dyDescent="0.6">
      <c r="A334" s="41">
        <v>39326</v>
      </c>
      <c r="B334" s="40">
        <v>4.5406000000000004</v>
      </c>
      <c r="C334" s="40">
        <v>5.78</v>
      </c>
      <c r="D334" s="40">
        <v>1423.04</v>
      </c>
      <c r="E334" s="40">
        <v>4301.8999999999996</v>
      </c>
      <c r="F334" s="40">
        <v>17</v>
      </c>
      <c r="G334" s="40">
        <v>17162770</v>
      </c>
      <c r="H334" s="40">
        <v>4.3517000000000001</v>
      </c>
      <c r="I334" s="40">
        <v>4.7149999999999999</v>
      </c>
      <c r="J334" s="40">
        <v>2648.41</v>
      </c>
      <c r="K334" s="40">
        <v>9721.6299999999992</v>
      </c>
      <c r="L334" s="40">
        <v>14.7</v>
      </c>
      <c r="M334" s="40">
        <v>1813767</v>
      </c>
    </row>
    <row r="335" spans="1:13" x14ac:dyDescent="0.6">
      <c r="A335" s="41">
        <v>39356</v>
      </c>
      <c r="B335" s="40">
        <v>4.5532000000000004</v>
      </c>
      <c r="C335" s="40">
        <v>5.19</v>
      </c>
      <c r="D335" s="40">
        <v>1493.09</v>
      </c>
      <c r="E335" s="40">
        <v>4519.82</v>
      </c>
      <c r="F335" s="40">
        <v>17.8</v>
      </c>
      <c r="G335" s="40">
        <v>18012690</v>
      </c>
      <c r="H335" s="40">
        <v>4.4048999999999996</v>
      </c>
      <c r="I335" s="40">
        <v>4.76</v>
      </c>
      <c r="J335" s="40">
        <v>2687.57</v>
      </c>
      <c r="K335" s="40">
        <v>9887.7099999999991</v>
      </c>
      <c r="L335" s="40">
        <v>14</v>
      </c>
      <c r="M335" s="40">
        <v>1857983</v>
      </c>
    </row>
    <row r="336" spans="1:13" x14ac:dyDescent="0.6">
      <c r="A336" s="41">
        <v>39387</v>
      </c>
      <c r="B336" s="40">
        <v>4.3571</v>
      </c>
      <c r="C336" s="40">
        <v>4.7300000000000004</v>
      </c>
      <c r="D336" s="40">
        <v>1467.48</v>
      </c>
      <c r="E336" s="40">
        <v>4449.1099999999997</v>
      </c>
      <c r="F336" s="40">
        <v>17.600000000000001</v>
      </c>
      <c r="G336" s="40">
        <v>17558100</v>
      </c>
      <c r="H336" s="40">
        <v>4.2994000000000003</v>
      </c>
      <c r="I336" s="40">
        <v>4.51</v>
      </c>
      <c r="J336" s="40">
        <v>2699.78</v>
      </c>
      <c r="K336" s="40">
        <v>9957.5499999999993</v>
      </c>
      <c r="L336" s="40">
        <v>14</v>
      </c>
      <c r="M336" s="40">
        <v>1864345</v>
      </c>
    </row>
    <row r="337" spans="1:13" x14ac:dyDescent="0.6">
      <c r="A337" s="41">
        <v>39417</v>
      </c>
      <c r="B337" s="40">
        <v>3.8933</v>
      </c>
      <c r="C337" s="40">
        <v>5.16</v>
      </c>
      <c r="D337" s="40">
        <v>1434.44</v>
      </c>
      <c r="E337" s="40">
        <v>4355.6499999999996</v>
      </c>
      <c r="F337" s="40">
        <v>18.100000000000001</v>
      </c>
      <c r="G337" s="40">
        <v>17066770</v>
      </c>
      <c r="H337" s="40">
        <v>4.1715999999999998</v>
      </c>
      <c r="I337" s="40">
        <v>4.82</v>
      </c>
      <c r="J337" s="40">
        <v>2629.92</v>
      </c>
      <c r="K337" s="40">
        <v>9724.5499999999993</v>
      </c>
      <c r="L337" s="40">
        <v>14.1</v>
      </c>
      <c r="M337" s="40">
        <v>1779262</v>
      </c>
    </row>
    <row r="338" spans="1:13" x14ac:dyDescent="0.6">
      <c r="A338" s="41">
        <v>39448</v>
      </c>
      <c r="B338" s="40">
        <v>4.0342000000000002</v>
      </c>
      <c r="C338" s="40">
        <v>4.78</v>
      </c>
      <c r="D338" s="40">
        <v>1430.16</v>
      </c>
      <c r="E338" s="40">
        <v>4349.0600000000004</v>
      </c>
      <c r="F338" s="40">
        <v>18.2</v>
      </c>
      <c r="G338" s="40">
        <v>17009970</v>
      </c>
      <c r="H338" s="40">
        <v>4.3905000000000003</v>
      </c>
      <c r="I338" s="40">
        <v>4.6050000000000004</v>
      </c>
      <c r="J338" s="40">
        <v>2604.37</v>
      </c>
      <c r="K338" s="40">
        <v>9653.4599999999991</v>
      </c>
      <c r="L338" s="40">
        <v>14</v>
      </c>
      <c r="M338" s="40">
        <v>1759040</v>
      </c>
    </row>
    <row r="339" spans="1:13" x14ac:dyDescent="0.6">
      <c r="A339" s="41">
        <v>39479</v>
      </c>
      <c r="B339" s="40">
        <v>3.5983999999999998</v>
      </c>
      <c r="C339" s="40">
        <v>3.0550000000000002</v>
      </c>
      <c r="D339" s="40">
        <v>1362.14</v>
      </c>
      <c r="E339" s="40">
        <v>4149.34</v>
      </c>
      <c r="F339" s="40">
        <v>17.899999999999999</v>
      </c>
      <c r="G339" s="40">
        <v>16255960</v>
      </c>
      <c r="H339" s="40">
        <v>3.9908999999999999</v>
      </c>
      <c r="I339" s="40">
        <v>4.33</v>
      </c>
      <c r="J339" s="40">
        <v>2308.04</v>
      </c>
      <c r="K339" s="40">
        <v>8580.01</v>
      </c>
      <c r="L339" s="40">
        <v>12.3</v>
      </c>
      <c r="M339" s="40">
        <v>1566930</v>
      </c>
    </row>
    <row r="340" spans="1:13" x14ac:dyDescent="0.6">
      <c r="A340" s="41">
        <v>39508</v>
      </c>
      <c r="B340" s="40">
        <v>3.5358000000000001</v>
      </c>
      <c r="C340" s="40">
        <v>2.94</v>
      </c>
      <c r="D340" s="40">
        <v>1305.3599999999999</v>
      </c>
      <c r="E340" s="40">
        <v>3982.71</v>
      </c>
      <c r="F340" s="40">
        <v>17</v>
      </c>
      <c r="G340" s="40">
        <v>15536820</v>
      </c>
      <c r="H340" s="40">
        <v>3.9268000000000001</v>
      </c>
      <c r="I340" s="40">
        <v>4.3499999999999996</v>
      </c>
      <c r="J340" s="40">
        <v>2200.48</v>
      </c>
      <c r="K340" s="40">
        <v>8202.98</v>
      </c>
      <c r="L340" s="40">
        <v>11.8</v>
      </c>
      <c r="M340" s="40">
        <v>1494916</v>
      </c>
    </row>
    <row r="341" spans="1:13" x14ac:dyDescent="0.6">
      <c r="A341" s="41">
        <v>39539</v>
      </c>
      <c r="B341" s="40">
        <v>3.5491999999999999</v>
      </c>
      <c r="C341" s="40">
        <v>2.81</v>
      </c>
      <c r="D341" s="40">
        <v>1338.37</v>
      </c>
      <c r="E341" s="40">
        <v>4090.17</v>
      </c>
      <c r="F341" s="40">
        <v>17.399999999999999</v>
      </c>
      <c r="G341" s="40">
        <v>15899100</v>
      </c>
      <c r="H341" s="40">
        <v>4.1150000000000002</v>
      </c>
      <c r="I341" s="40">
        <v>4.7</v>
      </c>
      <c r="J341" s="40">
        <v>2247.85</v>
      </c>
      <c r="K341" s="40">
        <v>8403.4699999999993</v>
      </c>
      <c r="L341" s="40">
        <v>12.1</v>
      </c>
      <c r="M341" s="40">
        <v>1526884</v>
      </c>
    </row>
    <row r="342" spans="1:13" x14ac:dyDescent="0.6">
      <c r="A342" s="41">
        <v>39569</v>
      </c>
      <c r="B342" s="40">
        <v>3.7486999999999999</v>
      </c>
      <c r="C342" s="40">
        <v>2.9</v>
      </c>
      <c r="D342" s="40">
        <v>1375.29</v>
      </c>
      <c r="E342" s="40">
        <v>4209.8</v>
      </c>
      <c r="F342" s="40">
        <v>18.2</v>
      </c>
      <c r="G342" s="40">
        <v>16358560</v>
      </c>
      <c r="H342" s="40">
        <v>4.2436999999999996</v>
      </c>
      <c r="I342" s="40">
        <v>4.82</v>
      </c>
      <c r="J342" s="40">
        <v>2308.17</v>
      </c>
      <c r="K342" s="40">
        <v>8653.76</v>
      </c>
      <c r="L342" s="40">
        <v>11.6</v>
      </c>
      <c r="M342" s="40">
        <v>1566690</v>
      </c>
    </row>
    <row r="343" spans="1:13" x14ac:dyDescent="0.6">
      <c r="A343" s="41">
        <v>39600</v>
      </c>
      <c r="B343" s="40">
        <v>3.9698000000000002</v>
      </c>
      <c r="C343" s="40">
        <v>2.81</v>
      </c>
      <c r="D343" s="40">
        <v>1363.6</v>
      </c>
      <c r="E343" s="40">
        <v>4180.67</v>
      </c>
      <c r="F343" s="40">
        <v>18.3</v>
      </c>
      <c r="G343" s="40">
        <v>16207130</v>
      </c>
      <c r="H343" s="40">
        <v>4.4770000000000003</v>
      </c>
      <c r="I343" s="40">
        <v>4.835</v>
      </c>
      <c r="J343" s="40">
        <v>2272.5300000000002</v>
      </c>
      <c r="K343" s="40">
        <v>8543.81</v>
      </c>
      <c r="L343" s="40">
        <v>12</v>
      </c>
      <c r="M343" s="40">
        <v>1539874</v>
      </c>
    </row>
    <row r="344" spans="1:13" x14ac:dyDescent="0.6">
      <c r="A344" s="41">
        <v>39630</v>
      </c>
      <c r="B344" s="40">
        <v>3.9946000000000002</v>
      </c>
      <c r="C344" s="40">
        <v>2.855</v>
      </c>
      <c r="D344" s="40">
        <v>1269.1300000000001</v>
      </c>
      <c r="E344" s="40">
        <v>3897.33</v>
      </c>
      <c r="F344" s="40">
        <v>17</v>
      </c>
      <c r="G344" s="40">
        <v>15092040</v>
      </c>
      <c r="H344" s="40">
        <v>4.8094000000000001</v>
      </c>
      <c r="I344" s="40">
        <v>4.9249999999999998</v>
      </c>
      <c r="J344" s="40">
        <v>1987.69</v>
      </c>
      <c r="K344" s="40">
        <v>7494.64</v>
      </c>
      <c r="L344" s="40">
        <v>10.5</v>
      </c>
      <c r="M344" s="40">
        <v>1345721</v>
      </c>
    </row>
    <row r="345" spans="1:13" x14ac:dyDescent="0.6">
      <c r="A345" s="41">
        <v>39661</v>
      </c>
      <c r="B345" s="40">
        <v>3.9493999999999998</v>
      </c>
      <c r="C345" s="40">
        <v>2.8</v>
      </c>
      <c r="D345" s="40">
        <v>1246.55</v>
      </c>
      <c r="E345" s="40">
        <v>3835.34</v>
      </c>
      <c r="F345" s="40">
        <v>16.7</v>
      </c>
      <c r="G345" s="40">
        <v>14656640</v>
      </c>
      <c r="H345" s="40">
        <v>4.5380000000000003</v>
      </c>
      <c r="I345" s="40">
        <v>4.93</v>
      </c>
      <c r="J345" s="40">
        <v>1966.09</v>
      </c>
      <c r="K345" s="40">
        <v>7439.26</v>
      </c>
      <c r="L345" s="40">
        <v>10.199999999999999</v>
      </c>
      <c r="M345" s="40">
        <v>1335511</v>
      </c>
    </row>
    <row r="346" spans="1:13" x14ac:dyDescent="0.6">
      <c r="A346" s="41">
        <v>39692</v>
      </c>
      <c r="B346" s="40">
        <v>3.8126000000000002</v>
      </c>
      <c r="C346" s="40">
        <v>2.99</v>
      </c>
      <c r="D346" s="40">
        <v>1267.32</v>
      </c>
      <c r="E346" s="40">
        <v>3905.99</v>
      </c>
      <c r="F346" s="40">
        <v>16.8</v>
      </c>
      <c r="G346" s="40">
        <v>14874470</v>
      </c>
      <c r="H346" s="40">
        <v>4.3303000000000003</v>
      </c>
      <c r="I346" s="40">
        <v>4.92</v>
      </c>
      <c r="J346" s="40">
        <v>2055.5100000000002</v>
      </c>
      <c r="K346" s="40">
        <v>7802.35</v>
      </c>
      <c r="L346" s="40">
        <v>10.8</v>
      </c>
      <c r="M346" s="40">
        <v>1394183</v>
      </c>
    </row>
    <row r="347" spans="1:13" x14ac:dyDescent="0.6">
      <c r="A347" s="41">
        <v>39722</v>
      </c>
      <c r="B347" s="40">
        <v>3.7622</v>
      </c>
      <c r="C347" s="40">
        <v>4.38</v>
      </c>
      <c r="D347" s="40">
        <v>1145.81</v>
      </c>
      <c r="E347" s="40">
        <v>3538.25</v>
      </c>
      <c r="F347" s="40">
        <v>15.1</v>
      </c>
      <c r="G347" s="40">
        <v>13419450</v>
      </c>
      <c r="H347" s="40">
        <v>4.3048000000000002</v>
      </c>
      <c r="I347" s="40">
        <v>5.2750000000000004</v>
      </c>
      <c r="J347" s="40">
        <v>1867.47</v>
      </c>
      <c r="K347" s="40">
        <v>7113.3</v>
      </c>
      <c r="L347" s="40">
        <v>10.199999999999999</v>
      </c>
      <c r="M347" s="40">
        <v>1267949</v>
      </c>
    </row>
    <row r="348" spans="1:13" x14ac:dyDescent="0.6">
      <c r="A348" s="41">
        <v>39753</v>
      </c>
      <c r="B348" s="40">
        <v>3.9087000000000001</v>
      </c>
      <c r="C348" s="40">
        <v>3.14</v>
      </c>
      <c r="D348" s="40">
        <v>948.71</v>
      </c>
      <c r="E348" s="40">
        <v>2936.98</v>
      </c>
      <c r="F348" s="40">
        <v>12.7</v>
      </c>
      <c r="G348" s="40">
        <v>11073840</v>
      </c>
      <c r="H348" s="40">
        <v>4.2618999999999998</v>
      </c>
      <c r="I348" s="40">
        <v>4.8</v>
      </c>
      <c r="J348" s="40">
        <v>1629.04</v>
      </c>
      <c r="K348" s="40">
        <v>6232.68</v>
      </c>
      <c r="L348" s="40">
        <v>8.9</v>
      </c>
      <c r="M348" s="40">
        <v>1106209</v>
      </c>
    </row>
    <row r="349" spans="1:13" x14ac:dyDescent="0.6">
      <c r="A349" s="41">
        <v>39783</v>
      </c>
      <c r="B349" s="40">
        <v>2.7174</v>
      </c>
      <c r="C349" s="40">
        <v>3.45</v>
      </c>
      <c r="D349" s="40">
        <v>797.76</v>
      </c>
      <c r="E349" s="40">
        <v>2475.56</v>
      </c>
      <c r="F349" s="40">
        <v>10.6</v>
      </c>
      <c r="G349" s="40">
        <v>9251618</v>
      </c>
      <c r="H349" s="40">
        <v>3.5453999999999999</v>
      </c>
      <c r="I349" s="40">
        <v>4.0199999999999996</v>
      </c>
      <c r="J349" s="40">
        <v>1435.44</v>
      </c>
      <c r="K349" s="40">
        <v>5514.25</v>
      </c>
      <c r="L349" s="40">
        <v>7.7</v>
      </c>
      <c r="M349" s="40">
        <v>973971</v>
      </c>
    </row>
    <row r="350" spans="1:13" x14ac:dyDescent="0.6">
      <c r="A350" s="41">
        <v>39814</v>
      </c>
      <c r="B350" s="40">
        <v>2.2509000000000001</v>
      </c>
      <c r="C350" s="40">
        <v>1.56</v>
      </c>
      <c r="D350" s="40">
        <v>887.82</v>
      </c>
      <c r="E350" s="40">
        <v>2762.46</v>
      </c>
      <c r="F350" s="40">
        <v>11.9</v>
      </c>
      <c r="G350" s="40">
        <v>10318490</v>
      </c>
      <c r="H350" s="40">
        <v>3.4036</v>
      </c>
      <c r="I350" s="40">
        <v>2.85</v>
      </c>
      <c r="J350" s="40">
        <v>1492.12</v>
      </c>
      <c r="K350" s="40">
        <v>5759.58</v>
      </c>
      <c r="L350" s="40">
        <v>8</v>
      </c>
      <c r="M350" s="40">
        <v>1012965</v>
      </c>
    </row>
    <row r="351" spans="1:13" x14ac:dyDescent="0.6">
      <c r="A351" s="41">
        <v>39845</v>
      </c>
      <c r="B351" s="40">
        <v>2.7197</v>
      </c>
      <c r="C351" s="40">
        <v>1.3</v>
      </c>
      <c r="D351" s="40">
        <v>814.37</v>
      </c>
      <c r="E351" s="40">
        <v>2540.38</v>
      </c>
      <c r="F351" s="40">
        <v>11.9</v>
      </c>
      <c r="G351" s="40">
        <v>9452048</v>
      </c>
      <c r="H351" s="40">
        <v>3.7791999999999999</v>
      </c>
      <c r="I351" s="40">
        <v>2.0499999999999998</v>
      </c>
      <c r="J351" s="40">
        <v>1368.68</v>
      </c>
      <c r="K351" s="40">
        <v>5307.84</v>
      </c>
      <c r="L351" s="40">
        <v>7.5</v>
      </c>
      <c r="M351" s="40">
        <v>926726</v>
      </c>
    </row>
    <row r="352" spans="1:13" x14ac:dyDescent="0.6">
      <c r="A352" s="41">
        <v>39873</v>
      </c>
      <c r="B352" s="40">
        <v>2.9203000000000001</v>
      </c>
      <c r="C352" s="40">
        <v>1.44</v>
      </c>
      <c r="D352" s="40">
        <v>695.57</v>
      </c>
      <c r="E352" s="40">
        <v>2174.9499999999998</v>
      </c>
      <c r="F352" s="40">
        <v>10.7</v>
      </c>
      <c r="G352" s="40">
        <v>8075890</v>
      </c>
      <c r="H352" s="40">
        <v>3.5903999999999998</v>
      </c>
      <c r="I352" s="40">
        <v>1.87</v>
      </c>
      <c r="J352" s="40">
        <v>1208.32</v>
      </c>
      <c r="K352" s="40">
        <v>4706.9799999999996</v>
      </c>
      <c r="L352" s="40">
        <v>6.9</v>
      </c>
      <c r="M352" s="40">
        <v>811436</v>
      </c>
    </row>
    <row r="353" spans="1:13" x14ac:dyDescent="0.6">
      <c r="A353" s="41">
        <v>39904</v>
      </c>
      <c r="B353" s="40">
        <v>2.6583000000000001</v>
      </c>
      <c r="C353" s="40">
        <v>1.37</v>
      </c>
      <c r="D353" s="40">
        <v>799.96</v>
      </c>
      <c r="E353" s="40">
        <v>2508.0100000000002</v>
      </c>
      <c r="F353" s="40">
        <v>12.4</v>
      </c>
      <c r="G353" s="40">
        <v>8887545</v>
      </c>
      <c r="H353" s="40">
        <v>3.5528</v>
      </c>
      <c r="I353" s="40">
        <v>1.48</v>
      </c>
      <c r="J353" s="40">
        <v>1311.82</v>
      </c>
      <c r="K353" s="40">
        <v>5136.5200000000004</v>
      </c>
      <c r="L353" s="40">
        <v>8.5</v>
      </c>
      <c r="M353" s="40">
        <v>883256</v>
      </c>
    </row>
    <row r="354" spans="1:13" x14ac:dyDescent="0.6">
      <c r="A354" s="41">
        <v>39934</v>
      </c>
      <c r="B354" s="40">
        <v>3.1730999999999998</v>
      </c>
      <c r="C354" s="40">
        <v>1.1200000000000001</v>
      </c>
      <c r="D354" s="40">
        <v>867.32</v>
      </c>
      <c r="E354" s="40">
        <v>2725.55</v>
      </c>
      <c r="F354" s="40">
        <v>13.8</v>
      </c>
      <c r="G354" s="40">
        <v>10047780</v>
      </c>
      <c r="H354" s="40">
        <v>3.6012</v>
      </c>
      <c r="I354" s="40">
        <v>1.41</v>
      </c>
      <c r="J354" s="40">
        <v>1474.51</v>
      </c>
      <c r="K354" s="40">
        <v>5800.1</v>
      </c>
      <c r="L354" s="40">
        <v>11.8</v>
      </c>
      <c r="M354" s="40">
        <v>995420</v>
      </c>
    </row>
    <row r="355" spans="1:13" x14ac:dyDescent="0.6">
      <c r="A355" s="41">
        <v>39965</v>
      </c>
      <c r="B355" s="40">
        <v>3.7136</v>
      </c>
      <c r="C355" s="40">
        <v>0.77</v>
      </c>
      <c r="D355" s="40">
        <v>931.49</v>
      </c>
      <c r="E355" s="40">
        <v>2933.12</v>
      </c>
      <c r="F355" s="40">
        <v>15.4</v>
      </c>
      <c r="G355" s="40">
        <v>10824370</v>
      </c>
      <c r="H355" s="40">
        <v>4.0111999999999997</v>
      </c>
      <c r="I355" s="40">
        <v>1.3</v>
      </c>
      <c r="J355" s="40">
        <v>1555.69</v>
      </c>
      <c r="K355" s="40">
        <v>6144.03</v>
      </c>
      <c r="L355" s="40">
        <v>13.8</v>
      </c>
      <c r="M355" s="40">
        <v>1061492</v>
      </c>
    </row>
    <row r="356" spans="1:13" x14ac:dyDescent="0.6">
      <c r="A356" s="41">
        <v>39995</v>
      </c>
      <c r="B356" s="40">
        <v>3.5467</v>
      </c>
      <c r="C356" s="40">
        <v>0.83</v>
      </c>
      <c r="D356" s="40">
        <v>911.74</v>
      </c>
      <c r="E356" s="40">
        <v>2876.72</v>
      </c>
      <c r="F356" s="40">
        <v>15.1</v>
      </c>
      <c r="G356" s="40">
        <v>10598650</v>
      </c>
      <c r="H356" s="40">
        <v>3.7515000000000001</v>
      </c>
      <c r="I356" s="40">
        <v>1.1399999999999999</v>
      </c>
      <c r="J356" s="40">
        <v>1489.46</v>
      </c>
      <c r="K356" s="40">
        <v>5906.82</v>
      </c>
      <c r="L356" s="40">
        <v>13.4</v>
      </c>
      <c r="M356" s="40">
        <v>1024673</v>
      </c>
    </row>
    <row r="357" spans="1:13" x14ac:dyDescent="0.6">
      <c r="A357" s="41">
        <v>40026</v>
      </c>
      <c r="B357" s="40">
        <v>3.6381000000000001</v>
      </c>
      <c r="C357" s="40">
        <v>0.53</v>
      </c>
      <c r="D357" s="40">
        <v>990.67</v>
      </c>
      <c r="E357" s="40">
        <v>3132.19</v>
      </c>
      <c r="F357" s="40">
        <v>17.399999999999999</v>
      </c>
      <c r="G357" s="40">
        <v>11652280</v>
      </c>
      <c r="H357" s="40">
        <v>3.5432999999999999</v>
      </c>
      <c r="I357" s="40">
        <v>0.94</v>
      </c>
      <c r="J357" s="40">
        <v>1604.16</v>
      </c>
      <c r="K357" s="40">
        <v>6387</v>
      </c>
      <c r="L357" s="40">
        <v>14.6</v>
      </c>
      <c r="M357" s="40">
        <v>1106706</v>
      </c>
    </row>
    <row r="358" spans="1:13" x14ac:dyDescent="0.6">
      <c r="A358" s="41">
        <v>40057</v>
      </c>
      <c r="B358" s="40">
        <v>3.3613</v>
      </c>
      <c r="C358" s="40">
        <v>0.4</v>
      </c>
      <c r="D358" s="40">
        <v>985.37</v>
      </c>
      <c r="E358" s="40">
        <v>3120.84</v>
      </c>
      <c r="F358" s="40">
        <v>17.7</v>
      </c>
      <c r="G358" s="40">
        <v>11592220</v>
      </c>
      <c r="H358" s="40">
        <v>3.5255999999999998</v>
      </c>
      <c r="I358" s="40">
        <v>0.87</v>
      </c>
      <c r="J358" s="40">
        <v>1672.11</v>
      </c>
      <c r="K358" s="40">
        <v>6679.35</v>
      </c>
      <c r="L358" s="40">
        <v>17.100000000000001</v>
      </c>
      <c r="M358" s="40">
        <v>1153293</v>
      </c>
    </row>
    <row r="359" spans="1:13" x14ac:dyDescent="0.6">
      <c r="A359" s="41">
        <v>40087</v>
      </c>
      <c r="B359" s="40">
        <v>3.1806999999999999</v>
      </c>
      <c r="C359" s="40">
        <v>0.35</v>
      </c>
      <c r="D359" s="40">
        <v>1020.15</v>
      </c>
      <c r="E359" s="40">
        <v>3236.63</v>
      </c>
      <c r="F359" s="40">
        <v>18.5</v>
      </c>
      <c r="G359" s="40">
        <v>12058590</v>
      </c>
      <c r="H359" s="40">
        <v>3.5127999999999999</v>
      </c>
      <c r="I359" s="40">
        <v>0.81</v>
      </c>
      <c r="J359" s="40">
        <v>1757.16</v>
      </c>
      <c r="K359" s="40">
        <v>7041.86</v>
      </c>
      <c r="L359" s="40">
        <v>18.600000000000001</v>
      </c>
      <c r="M359" s="40">
        <v>1216795</v>
      </c>
    </row>
    <row r="360" spans="1:13" x14ac:dyDescent="0.6">
      <c r="A360" s="41">
        <v>40118</v>
      </c>
      <c r="B360" s="40">
        <v>3.4144999999999999</v>
      </c>
      <c r="C360" s="40">
        <v>0.375</v>
      </c>
      <c r="D360" s="40">
        <v>1031.29</v>
      </c>
      <c r="E360" s="40">
        <v>3277.58</v>
      </c>
      <c r="F360" s="40">
        <v>19.8</v>
      </c>
      <c r="G360" s="40">
        <v>12240450</v>
      </c>
      <c r="H360" s="40">
        <v>3.5230000000000001</v>
      </c>
      <c r="I360" s="40">
        <v>0.58499999999999996</v>
      </c>
      <c r="J360" s="40">
        <v>1718.63</v>
      </c>
      <c r="K360" s="40">
        <v>6909.52</v>
      </c>
      <c r="L360" s="40">
        <v>18.399999999999999</v>
      </c>
      <c r="M360" s="40">
        <v>1195643</v>
      </c>
    </row>
    <row r="361" spans="1:13" x14ac:dyDescent="0.6">
      <c r="A361" s="41">
        <v>40148</v>
      </c>
      <c r="B361" s="40">
        <v>3.2907000000000002</v>
      </c>
      <c r="C361" s="40">
        <v>0.32</v>
      </c>
      <c r="D361" s="40">
        <v>1094.1400000000001</v>
      </c>
      <c r="E361" s="40">
        <v>3482.95</v>
      </c>
      <c r="F361" s="40">
        <v>21.4</v>
      </c>
      <c r="G361" s="40">
        <v>12971240</v>
      </c>
      <c r="H361" s="40">
        <v>3.3997000000000002</v>
      </c>
      <c r="I361" s="40">
        <v>0.67</v>
      </c>
      <c r="J361" s="40">
        <v>1762.26</v>
      </c>
      <c r="K361" s="40">
        <v>7106.8</v>
      </c>
      <c r="L361" s="40">
        <v>20.3</v>
      </c>
      <c r="M361" s="40">
        <v>1228544</v>
      </c>
    </row>
    <row r="362" spans="1:13" x14ac:dyDescent="0.6">
      <c r="A362" s="41">
        <v>40179</v>
      </c>
      <c r="B362" s="40">
        <v>3.8355000000000001</v>
      </c>
      <c r="C362" s="40">
        <v>0.34499999999999997</v>
      </c>
      <c r="D362" s="40">
        <v>1104.24</v>
      </c>
      <c r="E362" s="40">
        <v>3521.23</v>
      </c>
      <c r="F362" s="40">
        <v>21.7</v>
      </c>
      <c r="G362" s="40">
        <v>13129590</v>
      </c>
      <c r="H362" s="40">
        <v>3.5842000000000001</v>
      </c>
      <c r="I362" s="40">
        <v>0.59</v>
      </c>
      <c r="J362" s="40">
        <v>1824.16</v>
      </c>
      <c r="K362" s="40">
        <v>7380.87</v>
      </c>
      <c r="L362" s="40">
        <v>21</v>
      </c>
      <c r="M362" s="40">
        <v>1273776</v>
      </c>
    </row>
    <row r="363" spans="1:13" x14ac:dyDescent="0.6">
      <c r="A363" s="41">
        <v>40210</v>
      </c>
      <c r="B363" s="40">
        <v>3.6535000000000002</v>
      </c>
      <c r="C363" s="40">
        <v>0.31</v>
      </c>
      <c r="D363" s="40">
        <v>1081.98</v>
      </c>
      <c r="E363" s="40">
        <v>3455.68</v>
      </c>
      <c r="F363" s="40">
        <v>20.399999999999999</v>
      </c>
      <c r="G363" s="40">
        <v>12911550</v>
      </c>
      <c r="H363" s="40">
        <v>3.4359999999999999</v>
      </c>
      <c r="I363" s="40">
        <v>0.48499999999999999</v>
      </c>
      <c r="J363" s="40">
        <v>1772.99</v>
      </c>
      <c r="K363" s="40">
        <v>7195</v>
      </c>
      <c r="L363" s="40">
        <v>20.6</v>
      </c>
      <c r="M363" s="40">
        <v>1240647</v>
      </c>
    </row>
    <row r="364" spans="1:13" x14ac:dyDescent="0.6">
      <c r="A364" s="41">
        <v>40238</v>
      </c>
      <c r="B364" s="40">
        <v>3.6101999999999999</v>
      </c>
      <c r="C364" s="40">
        <v>0.24</v>
      </c>
      <c r="D364" s="40">
        <v>1112.77</v>
      </c>
      <c r="E364" s="40">
        <v>3559.56</v>
      </c>
      <c r="F364" s="40">
        <v>19.899999999999999</v>
      </c>
      <c r="G364" s="40">
        <v>13258090</v>
      </c>
      <c r="H364" s="40">
        <v>3.3136000000000001</v>
      </c>
      <c r="I364" s="40">
        <v>0.57999999999999996</v>
      </c>
      <c r="J364" s="40">
        <v>1770.41</v>
      </c>
      <c r="K364" s="40">
        <v>7205.29</v>
      </c>
      <c r="L364" s="40">
        <v>18.3</v>
      </c>
      <c r="M364" s="40">
        <v>1239591</v>
      </c>
    </row>
    <row r="365" spans="1:13" x14ac:dyDescent="0.6">
      <c r="A365" s="41">
        <v>40269</v>
      </c>
      <c r="B365" s="40">
        <v>3.8734000000000002</v>
      </c>
      <c r="C365" s="40">
        <v>0.36</v>
      </c>
      <c r="D365" s="40">
        <v>1173.95</v>
      </c>
      <c r="E365" s="40">
        <v>3761.67</v>
      </c>
      <c r="F365" s="40">
        <v>20.6</v>
      </c>
      <c r="G365" s="40">
        <v>13994450</v>
      </c>
      <c r="H365" s="40">
        <v>3.4043000000000001</v>
      </c>
      <c r="I365" s="40">
        <v>0.53</v>
      </c>
      <c r="J365" s="40">
        <v>1894.33</v>
      </c>
      <c r="K365" s="40">
        <v>7732.75</v>
      </c>
      <c r="L365" s="40">
        <v>19.399999999999999</v>
      </c>
      <c r="M365" s="40">
        <v>1326837</v>
      </c>
    </row>
    <row r="366" spans="1:13" x14ac:dyDescent="0.6">
      <c r="A366" s="41">
        <v>40299</v>
      </c>
      <c r="B366" s="40">
        <v>3.6869000000000001</v>
      </c>
      <c r="C366" s="40">
        <v>0.4</v>
      </c>
      <c r="D366" s="40">
        <v>1198.8399999999999</v>
      </c>
      <c r="E366" s="40">
        <v>3847.51</v>
      </c>
      <c r="F366" s="40">
        <v>19.399999999999999</v>
      </c>
      <c r="G366" s="40">
        <v>14338990</v>
      </c>
      <c r="H366" s="40">
        <v>3.3206000000000002</v>
      </c>
      <c r="I366" s="40">
        <v>0.495</v>
      </c>
      <c r="J366" s="40">
        <v>1832.36</v>
      </c>
      <c r="K366" s="40">
        <v>7500.93</v>
      </c>
      <c r="L366" s="40">
        <v>18.7</v>
      </c>
      <c r="M366" s="40">
        <v>1286336</v>
      </c>
    </row>
    <row r="367" spans="1:13" x14ac:dyDescent="0.6">
      <c r="A367" s="41">
        <v>40330</v>
      </c>
      <c r="B367" s="40">
        <v>3.2696000000000001</v>
      </c>
      <c r="C367" s="40">
        <v>0.55000000000000004</v>
      </c>
      <c r="D367" s="40">
        <v>1068.94</v>
      </c>
      <c r="E367" s="40">
        <v>3436.22</v>
      </c>
      <c r="F367" s="40">
        <v>16.8</v>
      </c>
      <c r="G367" s="40">
        <v>12777270</v>
      </c>
      <c r="H367" s="40">
        <v>2.9579</v>
      </c>
      <c r="I367" s="40">
        <v>0.6</v>
      </c>
      <c r="J367" s="40">
        <v>1689.63</v>
      </c>
      <c r="K367" s="40">
        <v>6937.18</v>
      </c>
      <c r="L367" s="40">
        <v>16.399999999999999</v>
      </c>
      <c r="M367" s="40">
        <v>1186208</v>
      </c>
    </row>
    <row r="368" spans="1:13" x14ac:dyDescent="0.6">
      <c r="A368" s="41">
        <v>40360</v>
      </c>
      <c r="B368" s="40">
        <v>2.9462999999999999</v>
      </c>
      <c r="C368" s="40">
        <v>0.90500000000000003</v>
      </c>
      <c r="D368" s="40">
        <v>1028.1400000000001</v>
      </c>
      <c r="E368" s="40">
        <v>3311</v>
      </c>
      <c r="F368" s="40">
        <v>16.100000000000001</v>
      </c>
      <c r="G368" s="40">
        <v>12290850</v>
      </c>
      <c r="H368" s="40">
        <v>2.9986999999999999</v>
      </c>
      <c r="I368" s="40">
        <v>0.755</v>
      </c>
      <c r="J368" s="40">
        <v>1614.69</v>
      </c>
      <c r="K368" s="40">
        <v>6650.21</v>
      </c>
      <c r="L368" s="40">
        <v>15.6</v>
      </c>
      <c r="M368" s="40">
        <v>1134855</v>
      </c>
    </row>
    <row r="369" spans="1:13" x14ac:dyDescent="0.6">
      <c r="A369" s="41">
        <v>40391</v>
      </c>
      <c r="B369" s="40">
        <v>2.9641999999999999</v>
      </c>
      <c r="C369" s="40">
        <v>0.51</v>
      </c>
      <c r="D369" s="40">
        <v>1125.58</v>
      </c>
      <c r="E369" s="40">
        <v>3631.33</v>
      </c>
      <c r="F369" s="40">
        <v>16.7</v>
      </c>
      <c r="G369" s="40">
        <v>13439320</v>
      </c>
      <c r="H369" s="40">
        <v>2.9697</v>
      </c>
      <c r="I369" s="40">
        <v>0.88</v>
      </c>
      <c r="J369" s="40">
        <v>1793.45</v>
      </c>
      <c r="K369" s="40">
        <v>7409.49</v>
      </c>
      <c r="L369" s="40">
        <v>16.899999999999999</v>
      </c>
      <c r="M369" s="40">
        <v>1263210</v>
      </c>
    </row>
    <row r="370" spans="1:13" x14ac:dyDescent="0.6">
      <c r="A370" s="41">
        <v>40422</v>
      </c>
      <c r="B370" s="40">
        <v>2.5733999999999999</v>
      </c>
      <c r="C370" s="40">
        <v>0.35</v>
      </c>
      <c r="D370" s="40">
        <v>1083.53</v>
      </c>
      <c r="E370" s="40">
        <v>3502.02</v>
      </c>
      <c r="F370" s="40">
        <v>15.7</v>
      </c>
      <c r="G370" s="40">
        <v>12933400</v>
      </c>
      <c r="H370" s="40">
        <v>2.5520999999999998</v>
      </c>
      <c r="I370" s="40">
        <v>0.86</v>
      </c>
      <c r="J370" s="40">
        <v>1741.61</v>
      </c>
      <c r="K370" s="40">
        <v>7216.66</v>
      </c>
      <c r="L370" s="40">
        <v>14.9</v>
      </c>
      <c r="M370" s="40">
        <v>1226539</v>
      </c>
    </row>
    <row r="371" spans="1:13" x14ac:dyDescent="0.6">
      <c r="A371" s="41">
        <v>40452</v>
      </c>
      <c r="B371" s="40">
        <v>2.5116000000000001</v>
      </c>
      <c r="C371" s="40">
        <v>0.34</v>
      </c>
      <c r="D371" s="40">
        <v>1150.8900000000001</v>
      </c>
      <c r="E371" s="40">
        <v>3726.31</v>
      </c>
      <c r="F371" s="40">
        <v>16.600000000000001</v>
      </c>
      <c r="G371" s="40">
        <v>13712430</v>
      </c>
      <c r="H371" s="40">
        <v>2.6532</v>
      </c>
      <c r="I371" s="40">
        <v>0.87</v>
      </c>
      <c r="J371" s="40">
        <v>1789.26</v>
      </c>
      <c r="K371" s="40">
        <v>7435.27</v>
      </c>
      <c r="L371" s="40">
        <v>15.4</v>
      </c>
      <c r="M371" s="40">
        <v>1261762</v>
      </c>
    </row>
    <row r="372" spans="1:13" x14ac:dyDescent="0.6">
      <c r="A372" s="41">
        <v>40483</v>
      </c>
      <c r="B372" s="40">
        <v>2.6030000000000002</v>
      </c>
      <c r="C372" s="40">
        <v>0.38500000000000001</v>
      </c>
      <c r="D372" s="40">
        <v>1190.48</v>
      </c>
      <c r="E372" s="40">
        <v>3860.77</v>
      </c>
      <c r="F372" s="40">
        <v>16.600000000000001</v>
      </c>
      <c r="G372" s="40">
        <v>14203690</v>
      </c>
      <c r="H372" s="40">
        <v>2.806</v>
      </c>
      <c r="I372" s="40">
        <v>0.97</v>
      </c>
      <c r="J372" s="40">
        <v>1870.71</v>
      </c>
      <c r="K372" s="40">
        <v>7794.43</v>
      </c>
      <c r="L372" s="40">
        <v>16.100000000000001</v>
      </c>
      <c r="M372" s="40">
        <v>1317445</v>
      </c>
    </row>
    <row r="373" spans="1:13" x14ac:dyDescent="0.6">
      <c r="A373" s="41">
        <v>40513</v>
      </c>
      <c r="B373" s="40">
        <v>2.9660000000000002</v>
      </c>
      <c r="C373" s="40">
        <v>0.44500000000000001</v>
      </c>
      <c r="D373" s="40">
        <v>1213.19</v>
      </c>
      <c r="E373" s="40">
        <v>3940.95</v>
      </c>
      <c r="F373" s="40">
        <v>16.8</v>
      </c>
      <c r="G373" s="40">
        <v>14530470</v>
      </c>
      <c r="H373" s="40">
        <v>3.238</v>
      </c>
      <c r="I373" s="40">
        <v>1.0549999999999999</v>
      </c>
      <c r="J373" s="40">
        <v>1801.57</v>
      </c>
      <c r="K373" s="40">
        <v>7527.17</v>
      </c>
      <c r="L373" s="40">
        <v>15</v>
      </c>
      <c r="M373" s="40">
        <v>1268186</v>
      </c>
    </row>
    <row r="374" spans="1:13" x14ac:dyDescent="0.6">
      <c r="A374" s="41">
        <v>40544</v>
      </c>
      <c r="B374" s="40">
        <v>3.3410000000000002</v>
      </c>
      <c r="C374" s="40">
        <v>0.39</v>
      </c>
      <c r="D374" s="40">
        <v>1277.1199999999999</v>
      </c>
      <c r="E374" s="40">
        <v>4155.6499999999996</v>
      </c>
      <c r="F374" s="40">
        <v>17.600000000000001</v>
      </c>
      <c r="G374" s="40">
        <v>15304260</v>
      </c>
      <c r="H374" s="40">
        <v>3.3109999999999999</v>
      </c>
      <c r="I374" s="40">
        <v>0.98</v>
      </c>
      <c r="J374" s="40">
        <v>1897</v>
      </c>
      <c r="K374" s="40">
        <v>7948.52</v>
      </c>
      <c r="L374" s="40">
        <v>15.8</v>
      </c>
      <c r="M374" s="40">
        <v>1335672</v>
      </c>
    </row>
    <row r="375" spans="1:13" x14ac:dyDescent="0.6">
      <c r="A375" s="41">
        <v>40575</v>
      </c>
      <c r="B375" s="40">
        <v>3.444</v>
      </c>
      <c r="C375" s="40">
        <v>0.45500000000000002</v>
      </c>
      <c r="D375" s="40">
        <v>1309.79</v>
      </c>
      <c r="E375" s="40">
        <v>4268.41</v>
      </c>
      <c r="F375" s="40">
        <v>17.7</v>
      </c>
      <c r="G375" s="40">
        <v>15798600</v>
      </c>
      <c r="H375" s="40">
        <v>3.5710000000000002</v>
      </c>
      <c r="I375" s="40">
        <v>0.96</v>
      </c>
      <c r="J375" s="40">
        <v>1962.58</v>
      </c>
      <c r="K375" s="40">
        <v>8244.23</v>
      </c>
      <c r="L375" s="40">
        <v>16.3</v>
      </c>
      <c r="M375" s="40">
        <v>1383547</v>
      </c>
    </row>
    <row r="376" spans="1:13" x14ac:dyDescent="0.6">
      <c r="A376" s="41">
        <v>40603</v>
      </c>
      <c r="B376" s="40">
        <v>3.4159999999999999</v>
      </c>
      <c r="C376" s="40">
        <v>0.4</v>
      </c>
      <c r="D376" s="40">
        <v>1310.18</v>
      </c>
      <c r="E376" s="40">
        <v>4275.72</v>
      </c>
      <c r="F376" s="40">
        <v>17.3</v>
      </c>
      <c r="G376" s="40">
        <v>15797490</v>
      </c>
      <c r="H376" s="40">
        <v>3.5670000000000002</v>
      </c>
      <c r="I376" s="40">
        <v>0.995</v>
      </c>
      <c r="J376" s="40">
        <v>1970.31</v>
      </c>
      <c r="K376" s="40">
        <v>8296.9699999999993</v>
      </c>
      <c r="L376" s="40">
        <v>14.5</v>
      </c>
      <c r="M376" s="40">
        <v>1389242</v>
      </c>
    </row>
    <row r="377" spans="1:13" x14ac:dyDescent="0.6">
      <c r="A377" s="41">
        <v>40634</v>
      </c>
      <c r="B377" s="40">
        <v>3.4489999999999998</v>
      </c>
      <c r="C377" s="40">
        <v>0.27</v>
      </c>
      <c r="D377" s="40">
        <v>1339.05</v>
      </c>
      <c r="E377" s="40">
        <v>4377.33</v>
      </c>
      <c r="F377" s="40">
        <v>17.600000000000001</v>
      </c>
      <c r="G377" s="40">
        <v>16119280</v>
      </c>
      <c r="H377" s="40">
        <v>3.7440000000000002</v>
      </c>
      <c r="I377" s="40">
        <v>1.3</v>
      </c>
      <c r="J377" s="40">
        <v>1960.93</v>
      </c>
      <c r="K377" s="40">
        <v>8282.57</v>
      </c>
      <c r="L377" s="40">
        <v>13.6</v>
      </c>
      <c r="M377" s="40">
        <v>1382905</v>
      </c>
    </row>
    <row r="378" spans="1:13" x14ac:dyDescent="0.6">
      <c r="A378" s="41">
        <v>40664</v>
      </c>
      <c r="B378" s="40">
        <v>3.2850000000000001</v>
      </c>
      <c r="C378" s="40">
        <v>0.33</v>
      </c>
      <c r="D378" s="40">
        <v>1369</v>
      </c>
      <c r="E378" s="40">
        <v>4482.2</v>
      </c>
      <c r="F378" s="40">
        <v>16.600000000000001</v>
      </c>
      <c r="G378" s="40">
        <v>16511000</v>
      </c>
      <c r="H378" s="40">
        <v>3.597</v>
      </c>
      <c r="I378" s="40">
        <v>1.39</v>
      </c>
      <c r="J378" s="40">
        <v>1990.83</v>
      </c>
      <c r="K378" s="40">
        <v>8432.25</v>
      </c>
      <c r="L378" s="40">
        <v>13.9</v>
      </c>
      <c r="M378" s="40">
        <v>1404082</v>
      </c>
    </row>
    <row r="379" spans="1:13" x14ac:dyDescent="0.6">
      <c r="A379" s="41">
        <v>40695</v>
      </c>
      <c r="B379" s="40">
        <v>2.9630000000000001</v>
      </c>
      <c r="C379" s="40">
        <v>0.34</v>
      </c>
      <c r="D379" s="40">
        <v>1325.41</v>
      </c>
      <c r="E379" s="40">
        <v>4346.71</v>
      </c>
      <c r="F379" s="40">
        <v>16.2</v>
      </c>
      <c r="G379" s="40">
        <v>15983920</v>
      </c>
      <c r="H379" s="40">
        <v>3.3780000000000001</v>
      </c>
      <c r="I379" s="40">
        <v>1.43</v>
      </c>
      <c r="J379" s="40">
        <v>1945.07</v>
      </c>
      <c r="K379" s="40">
        <v>8262.5499999999993</v>
      </c>
      <c r="L379" s="40">
        <v>13.2</v>
      </c>
      <c r="M379" s="40">
        <v>1383811</v>
      </c>
    </row>
    <row r="380" spans="1:13" x14ac:dyDescent="0.6">
      <c r="A380" s="41">
        <v>40725</v>
      </c>
      <c r="B380" s="40">
        <v>3.198</v>
      </c>
      <c r="C380" s="40">
        <v>0.3</v>
      </c>
      <c r="D380" s="40">
        <v>1347.25</v>
      </c>
      <c r="E380" s="40">
        <v>4426.0200000000004</v>
      </c>
      <c r="F380" s="40">
        <v>16.399999999999999</v>
      </c>
      <c r="G380" s="40">
        <v>16196430</v>
      </c>
      <c r="H380" s="40">
        <v>3.419</v>
      </c>
      <c r="I380" s="40">
        <v>1.55</v>
      </c>
      <c r="J380" s="40">
        <v>1954.68</v>
      </c>
      <c r="K380" s="40">
        <v>8328.31</v>
      </c>
      <c r="L380" s="40">
        <v>13.3</v>
      </c>
      <c r="M380" s="40">
        <v>1395823</v>
      </c>
    </row>
    <row r="381" spans="1:13" x14ac:dyDescent="0.6">
      <c r="A381" s="41">
        <v>40756</v>
      </c>
      <c r="B381" s="40">
        <v>2.7389999999999999</v>
      </c>
      <c r="C381" s="40">
        <v>0.41</v>
      </c>
      <c r="D381" s="40">
        <v>1294.6500000000001</v>
      </c>
      <c r="E381" s="40">
        <v>4260.1000000000004</v>
      </c>
      <c r="F381" s="40">
        <v>15.5</v>
      </c>
      <c r="G381" s="40">
        <v>15606620</v>
      </c>
      <c r="H381" s="40">
        <v>3.0790000000000002</v>
      </c>
      <c r="I381" s="40">
        <v>1.6</v>
      </c>
      <c r="J381" s="40">
        <v>1795.64</v>
      </c>
      <c r="K381" s="40">
        <v>7672.85</v>
      </c>
      <c r="L381" s="40">
        <v>11.9</v>
      </c>
      <c r="M381" s="40">
        <v>1284749</v>
      </c>
    </row>
    <row r="382" spans="1:13" x14ac:dyDescent="0.6">
      <c r="A382" s="41">
        <v>40787</v>
      </c>
      <c r="B382" s="40">
        <v>2.145</v>
      </c>
      <c r="C382" s="40">
        <v>0.31</v>
      </c>
      <c r="D382" s="40">
        <v>1211.7</v>
      </c>
      <c r="E382" s="40">
        <v>3995.16</v>
      </c>
      <c r="F382" s="40">
        <v>14.1</v>
      </c>
      <c r="G382" s="40">
        <v>14580990</v>
      </c>
      <c r="H382" s="40">
        <v>2.895</v>
      </c>
      <c r="I382" s="40">
        <v>1.54</v>
      </c>
      <c r="J382" s="40">
        <v>1649.35</v>
      </c>
      <c r="K382" s="40">
        <v>7073.89</v>
      </c>
      <c r="L382" s="40">
        <v>10.8</v>
      </c>
      <c r="M382" s="40">
        <v>1176628</v>
      </c>
    </row>
    <row r="383" spans="1:13" x14ac:dyDescent="0.6">
      <c r="A383" s="41">
        <v>40817</v>
      </c>
      <c r="B383" s="40">
        <v>1.786</v>
      </c>
      <c r="C383" s="40">
        <v>0.47</v>
      </c>
      <c r="D383" s="40">
        <v>1099.18</v>
      </c>
      <c r="E383" s="40">
        <v>3631.3</v>
      </c>
      <c r="F383" s="40">
        <v>12.8</v>
      </c>
      <c r="G383" s="40">
        <v>13194660</v>
      </c>
      <c r="H383" s="40">
        <v>2.5750000000000002</v>
      </c>
      <c r="I383" s="40">
        <v>1.59</v>
      </c>
      <c r="J383" s="40">
        <v>1483.3</v>
      </c>
      <c r="K383" s="40">
        <v>6385.74</v>
      </c>
      <c r="L383" s="40">
        <v>9.6</v>
      </c>
      <c r="M383" s="40">
        <v>1054847</v>
      </c>
    </row>
    <row r="384" spans="1:13" x14ac:dyDescent="0.6">
      <c r="A384" s="41">
        <v>40848</v>
      </c>
      <c r="B384" s="40">
        <v>1.9990000000000001</v>
      </c>
      <c r="C384" s="40">
        <v>0.36</v>
      </c>
      <c r="D384" s="40">
        <v>1222.02</v>
      </c>
      <c r="E384" s="40">
        <v>4044.54</v>
      </c>
      <c r="F384" s="40">
        <v>14.3</v>
      </c>
      <c r="G384" s="40">
        <v>14623910</v>
      </c>
      <c r="H384" s="40">
        <v>2.988</v>
      </c>
      <c r="I384" s="40">
        <v>1.58</v>
      </c>
      <c r="J384" s="40">
        <v>1542.76</v>
      </c>
      <c r="K384" s="40">
        <v>6664.83</v>
      </c>
      <c r="L384" s="40">
        <v>10</v>
      </c>
      <c r="M384" s="40">
        <v>1097998</v>
      </c>
    </row>
    <row r="385" spans="1:13" x14ac:dyDescent="0.6">
      <c r="A385" s="41">
        <v>40878</v>
      </c>
      <c r="B385" s="40">
        <v>2.1139999999999999</v>
      </c>
      <c r="C385" s="40">
        <v>0.63</v>
      </c>
      <c r="D385" s="40">
        <v>1247.03</v>
      </c>
      <c r="E385" s="40">
        <v>4135.32</v>
      </c>
      <c r="F385" s="40">
        <v>14.3</v>
      </c>
      <c r="G385" s="40">
        <v>14908310</v>
      </c>
      <c r="H385" s="40">
        <v>3.1349999999999998</v>
      </c>
      <c r="I385" s="40">
        <v>1.45</v>
      </c>
      <c r="J385" s="40">
        <v>1548.08</v>
      </c>
      <c r="K385" s="40">
        <v>6712.65</v>
      </c>
      <c r="L385" s="40">
        <v>10.1</v>
      </c>
      <c r="M385" s="40">
        <v>1099821</v>
      </c>
    </row>
    <row r="386" spans="1:13" x14ac:dyDescent="0.6">
      <c r="A386" s="41">
        <v>40909</v>
      </c>
      <c r="B386" s="40">
        <v>1.8759999999999999</v>
      </c>
      <c r="C386" s="40">
        <v>0.63</v>
      </c>
      <c r="D386" s="40">
        <v>1258.76</v>
      </c>
      <c r="E386" s="40">
        <v>4182.28</v>
      </c>
      <c r="F386" s="40">
        <v>14.4</v>
      </c>
      <c r="G386" s="40">
        <v>15025110</v>
      </c>
      <c r="H386" s="40">
        <v>3.2360000000000002</v>
      </c>
      <c r="I386" s="40">
        <v>1.34</v>
      </c>
      <c r="J386" s="40">
        <v>1578.08</v>
      </c>
      <c r="K386" s="40">
        <v>6867.44</v>
      </c>
      <c r="L386" s="40">
        <v>10.3</v>
      </c>
      <c r="M386" s="40">
        <v>1121147</v>
      </c>
    </row>
    <row r="387" spans="1:13" x14ac:dyDescent="0.6">
      <c r="A387" s="41">
        <v>40940</v>
      </c>
      <c r="B387" s="40">
        <v>1.8460000000000001</v>
      </c>
      <c r="C387" s="40">
        <v>0.36</v>
      </c>
      <c r="D387" s="40">
        <v>1328.76</v>
      </c>
      <c r="E387" s="40">
        <v>4423.07</v>
      </c>
      <c r="F387" s="40">
        <v>15.1</v>
      </c>
      <c r="G387" s="40">
        <v>15899550</v>
      </c>
      <c r="H387" s="40">
        <v>3.0350000000000001</v>
      </c>
      <c r="I387" s="40">
        <v>1.1100000000000001</v>
      </c>
      <c r="J387" s="40">
        <v>1667.39</v>
      </c>
      <c r="K387" s="40">
        <v>7280.84</v>
      </c>
      <c r="L387" s="40">
        <v>10.9</v>
      </c>
      <c r="M387" s="40">
        <v>1185496</v>
      </c>
    </row>
    <row r="388" spans="1:13" x14ac:dyDescent="0.6">
      <c r="A388" s="41">
        <v>40969</v>
      </c>
      <c r="B388" s="40">
        <v>2.0369999999999999</v>
      </c>
      <c r="C388" s="40">
        <v>0.6</v>
      </c>
      <c r="D388" s="40">
        <v>1378.56</v>
      </c>
      <c r="E388" s="40">
        <v>4596.78</v>
      </c>
      <c r="F388" s="40">
        <v>15.9</v>
      </c>
      <c r="G388" s="40">
        <v>16471550</v>
      </c>
      <c r="H388" s="40">
        <v>2.7850000000000001</v>
      </c>
      <c r="I388" s="40">
        <v>0.96</v>
      </c>
      <c r="J388" s="40">
        <v>1732.86</v>
      </c>
      <c r="K388" s="40">
        <v>7589.91</v>
      </c>
      <c r="L388" s="40">
        <v>12.6</v>
      </c>
      <c r="M388" s="40">
        <v>1231929</v>
      </c>
    </row>
    <row r="389" spans="1:13" x14ac:dyDescent="0.6">
      <c r="A389" s="41">
        <v>41000</v>
      </c>
      <c r="B389" s="40">
        <v>2.1949999999999998</v>
      </c>
      <c r="C389" s="40">
        <v>0.35</v>
      </c>
      <c r="D389" s="40">
        <v>1418.95</v>
      </c>
      <c r="E389" s="40">
        <v>4739.93</v>
      </c>
      <c r="F389" s="40">
        <v>16.5</v>
      </c>
      <c r="G389" s="40">
        <v>16944400</v>
      </c>
      <c r="H389" s="40">
        <v>2.899</v>
      </c>
      <c r="I389" s="40">
        <v>0.74</v>
      </c>
      <c r="J389" s="40">
        <v>1729.22</v>
      </c>
      <c r="K389" s="40">
        <v>7597.74</v>
      </c>
      <c r="L389" s="40">
        <v>12.6</v>
      </c>
      <c r="M389" s="40">
        <v>1228875</v>
      </c>
    </row>
    <row r="390" spans="1:13" x14ac:dyDescent="0.6">
      <c r="A390" s="41">
        <v>41030</v>
      </c>
      <c r="B390" s="40">
        <v>1.958</v>
      </c>
      <c r="C390" s="40">
        <v>0.55500000000000005</v>
      </c>
      <c r="D390" s="40">
        <v>1408.16</v>
      </c>
      <c r="E390" s="40">
        <v>4712.03</v>
      </c>
      <c r="F390" s="40">
        <v>16</v>
      </c>
      <c r="G390" s="40">
        <v>16891220</v>
      </c>
      <c r="H390" s="40">
        <v>2.976</v>
      </c>
      <c r="I390" s="40">
        <v>0.62</v>
      </c>
      <c r="J390" s="40">
        <v>1623.74</v>
      </c>
      <c r="K390" s="40">
        <v>7157.36</v>
      </c>
      <c r="L390" s="40">
        <v>11.9</v>
      </c>
      <c r="M390" s="40">
        <v>1154180</v>
      </c>
    </row>
    <row r="391" spans="1:13" x14ac:dyDescent="0.6">
      <c r="A391" s="41">
        <v>41061</v>
      </c>
      <c r="B391" s="40">
        <v>1.466</v>
      </c>
      <c r="C391" s="40">
        <v>0.56999999999999995</v>
      </c>
      <c r="D391" s="40">
        <v>1279.29</v>
      </c>
      <c r="E391" s="40">
        <v>4289.38</v>
      </c>
      <c r="F391" s="40">
        <v>14.4</v>
      </c>
      <c r="G391" s="40">
        <v>15333160</v>
      </c>
      <c r="H391" s="40">
        <v>2.2360000000000002</v>
      </c>
      <c r="I391" s="40">
        <v>0.66</v>
      </c>
      <c r="J391" s="40">
        <v>1490.43</v>
      </c>
      <c r="K391" s="40">
        <v>6593.97</v>
      </c>
      <c r="L391" s="40">
        <v>10.9</v>
      </c>
      <c r="M391" s="40">
        <v>1060194</v>
      </c>
    </row>
    <row r="392" spans="1:13" x14ac:dyDescent="0.6">
      <c r="A392" s="41">
        <v>41091</v>
      </c>
      <c r="B392" s="40">
        <v>1.579</v>
      </c>
      <c r="C392" s="40">
        <v>0.55500000000000005</v>
      </c>
      <c r="D392" s="40">
        <v>1364.32</v>
      </c>
      <c r="E392" s="40">
        <v>4583</v>
      </c>
      <c r="F392" s="40">
        <v>15.3</v>
      </c>
      <c r="G392" s="40">
        <v>16334520</v>
      </c>
      <c r="H392" s="40">
        <v>2.6040000000000001</v>
      </c>
      <c r="I392" s="40">
        <v>0.56000000000000005</v>
      </c>
      <c r="J392" s="40">
        <v>1619.02</v>
      </c>
      <c r="K392" s="40">
        <v>7187.3</v>
      </c>
      <c r="L392" s="40">
        <v>11.9</v>
      </c>
      <c r="M392" s="40">
        <v>1152501</v>
      </c>
    </row>
    <row r="393" spans="1:13" x14ac:dyDescent="0.6">
      <c r="A393" s="41">
        <v>41122</v>
      </c>
      <c r="B393" s="40">
        <v>1.5389999999999999</v>
      </c>
      <c r="C393" s="40">
        <v>0.54</v>
      </c>
      <c r="D393" s="40">
        <v>1370.83</v>
      </c>
      <c r="E393" s="40">
        <v>4613.84</v>
      </c>
      <c r="F393" s="40">
        <v>15.3</v>
      </c>
      <c r="G393" s="40">
        <v>16412470</v>
      </c>
      <c r="H393" s="40">
        <v>2.0910000000000002</v>
      </c>
      <c r="I393" s="40">
        <v>0.38</v>
      </c>
      <c r="J393" s="40">
        <v>1646.45</v>
      </c>
      <c r="K393" s="40">
        <v>7334.27</v>
      </c>
      <c r="L393" s="40">
        <v>12.6</v>
      </c>
      <c r="M393" s="40">
        <v>1174832</v>
      </c>
    </row>
    <row r="394" spans="1:13" x14ac:dyDescent="0.6">
      <c r="A394" s="41">
        <v>41153</v>
      </c>
      <c r="B394" s="40">
        <v>1.5529999999999999</v>
      </c>
      <c r="C394" s="40">
        <v>0.53</v>
      </c>
      <c r="D394" s="40">
        <v>1403.08</v>
      </c>
      <c r="E394" s="40">
        <v>4731.93</v>
      </c>
      <c r="F394" s="40">
        <v>15.9</v>
      </c>
      <c r="G394" s="40">
        <v>16779090</v>
      </c>
      <c r="H394" s="40">
        <v>2.1970000000000001</v>
      </c>
      <c r="I394" s="40">
        <v>0.19</v>
      </c>
      <c r="J394" s="40">
        <v>1704.95</v>
      </c>
      <c r="K394" s="40">
        <v>7620.73</v>
      </c>
      <c r="L394" s="40">
        <v>13.8</v>
      </c>
      <c r="M394" s="40">
        <v>1218084</v>
      </c>
    </row>
    <row r="395" spans="1:13" x14ac:dyDescent="0.6">
      <c r="A395" s="41">
        <v>41183</v>
      </c>
      <c r="B395" s="40">
        <v>1.623</v>
      </c>
      <c r="C395" s="40">
        <v>0.39</v>
      </c>
      <c r="D395" s="40">
        <v>1436.76</v>
      </c>
      <c r="E395" s="40">
        <v>4853.8999999999996</v>
      </c>
      <c r="F395" s="40">
        <v>16.3</v>
      </c>
      <c r="G395" s="40">
        <v>17161890</v>
      </c>
      <c r="H395" s="40">
        <v>2.1989999999999998</v>
      </c>
      <c r="I395" s="40">
        <v>0.22</v>
      </c>
      <c r="J395" s="40">
        <v>1701.23</v>
      </c>
      <c r="K395" s="40">
        <v>7626.28</v>
      </c>
      <c r="L395" s="40">
        <v>13.8</v>
      </c>
      <c r="M395" s="40">
        <v>1216911</v>
      </c>
    </row>
    <row r="396" spans="1:13" x14ac:dyDescent="0.6">
      <c r="A396" s="41">
        <v>41214</v>
      </c>
      <c r="B396" s="40">
        <v>1.7170000000000001</v>
      </c>
      <c r="C396" s="40">
        <v>0.34499999999999997</v>
      </c>
      <c r="D396" s="40">
        <v>1424.29</v>
      </c>
      <c r="E396" s="40">
        <v>4821.45</v>
      </c>
      <c r="F396" s="40">
        <v>16.100000000000001</v>
      </c>
      <c r="G396" s="40">
        <v>17048820</v>
      </c>
      <c r="H396" s="40">
        <v>2.234</v>
      </c>
      <c r="I396" s="40">
        <v>0.19</v>
      </c>
      <c r="J396" s="40">
        <v>1724.31</v>
      </c>
      <c r="K396" s="40">
        <v>7756.02</v>
      </c>
      <c r="L396" s="40">
        <v>14</v>
      </c>
      <c r="M396" s="40">
        <v>1230078</v>
      </c>
    </row>
    <row r="397" spans="1:13" x14ac:dyDescent="0.6">
      <c r="A397" s="41">
        <v>41244</v>
      </c>
      <c r="B397" s="40">
        <v>1.629</v>
      </c>
      <c r="C397" s="40">
        <v>0.435</v>
      </c>
      <c r="D397" s="40">
        <v>1409.4</v>
      </c>
      <c r="E397" s="40">
        <v>4780.59</v>
      </c>
      <c r="F397" s="40">
        <v>16</v>
      </c>
      <c r="G397" s="40">
        <v>16861300</v>
      </c>
      <c r="H397" s="40">
        <v>2.052</v>
      </c>
      <c r="I397" s="40">
        <v>8.5000000000000006E-2</v>
      </c>
      <c r="J397" s="40">
        <v>1764.87</v>
      </c>
      <c r="K397" s="40">
        <v>7964.2</v>
      </c>
      <c r="L397" s="40">
        <v>14.2</v>
      </c>
      <c r="M397" s="40">
        <v>1259268</v>
      </c>
    </row>
    <row r="398" spans="1:13" x14ac:dyDescent="0.6">
      <c r="A398" s="41">
        <v>41275</v>
      </c>
      <c r="B398" s="40">
        <v>1.7569999999999999</v>
      </c>
      <c r="C398" s="40">
        <v>0.3</v>
      </c>
      <c r="D398" s="40">
        <v>1423.69</v>
      </c>
      <c r="E398" s="40">
        <v>4838.1400000000003</v>
      </c>
      <c r="F398" s="40">
        <v>16.2</v>
      </c>
      <c r="G398" s="40">
        <v>17016450</v>
      </c>
      <c r="H398" s="40">
        <v>1.9936</v>
      </c>
      <c r="I398" s="40">
        <v>0.12</v>
      </c>
      <c r="J398" s="40">
        <v>1793.92</v>
      </c>
      <c r="K398" s="40">
        <v>8119.34</v>
      </c>
      <c r="L398" s="40">
        <v>14.6</v>
      </c>
      <c r="M398" s="40">
        <v>1275233</v>
      </c>
    </row>
    <row r="399" spans="1:13" x14ac:dyDescent="0.6">
      <c r="A399" s="41">
        <v>41306</v>
      </c>
      <c r="B399" s="40">
        <v>2.0125999999999999</v>
      </c>
      <c r="C399" s="40">
        <v>0.31</v>
      </c>
      <c r="D399" s="40">
        <v>1517.21</v>
      </c>
      <c r="E399" s="40">
        <v>5166.24</v>
      </c>
      <c r="F399" s="40">
        <v>17.3</v>
      </c>
      <c r="G399" s="40">
        <v>18166860</v>
      </c>
      <c r="H399" s="40">
        <v>2.2505000000000002</v>
      </c>
      <c r="I399" s="40">
        <v>0.14000000000000001</v>
      </c>
      <c r="J399" s="40">
        <v>1875.81</v>
      </c>
      <c r="K399" s="40">
        <v>8516.7999999999993</v>
      </c>
      <c r="L399" s="40">
        <v>15.2</v>
      </c>
      <c r="M399" s="40">
        <v>1335208</v>
      </c>
    </row>
    <row r="400" spans="1:13" x14ac:dyDescent="0.6">
      <c r="A400" s="41">
        <v>41334</v>
      </c>
      <c r="B400" s="40">
        <v>1.8556999999999999</v>
      </c>
      <c r="C400" s="40">
        <v>0.40500000000000003</v>
      </c>
      <c r="D400" s="40">
        <v>1522.42</v>
      </c>
      <c r="E400" s="40">
        <v>5192.93</v>
      </c>
      <c r="F400" s="40">
        <v>17.600000000000001</v>
      </c>
      <c r="G400" s="40">
        <v>18215010</v>
      </c>
      <c r="H400" s="40">
        <v>2.1208</v>
      </c>
      <c r="I400" s="40">
        <v>0.15</v>
      </c>
      <c r="J400" s="40">
        <v>1866.26</v>
      </c>
      <c r="K400" s="40">
        <v>8496.76</v>
      </c>
      <c r="L400" s="40">
        <v>15.9</v>
      </c>
      <c r="M400" s="40">
        <v>1327978</v>
      </c>
    </row>
    <row r="401" spans="1:13" x14ac:dyDescent="0.6">
      <c r="A401" s="41">
        <v>41365</v>
      </c>
      <c r="B401" s="40">
        <v>1.8406</v>
      </c>
      <c r="C401" s="40">
        <v>0.55000000000000004</v>
      </c>
      <c r="D401" s="40">
        <v>1567.34</v>
      </c>
      <c r="E401" s="40">
        <v>5355.67</v>
      </c>
      <c r="F401" s="40">
        <v>18.100000000000001</v>
      </c>
      <c r="G401" s="40">
        <v>18742660</v>
      </c>
      <c r="H401" s="40">
        <v>2.0194999999999999</v>
      </c>
      <c r="I401" s="40">
        <v>0.2</v>
      </c>
      <c r="J401" s="40">
        <v>1888.07</v>
      </c>
      <c r="K401" s="40">
        <v>8620.3700000000008</v>
      </c>
      <c r="L401" s="40">
        <v>15.7</v>
      </c>
      <c r="M401" s="40">
        <v>1343502</v>
      </c>
    </row>
    <row r="402" spans="1:13" x14ac:dyDescent="0.6">
      <c r="A402" s="41">
        <v>41395</v>
      </c>
      <c r="B402" s="40">
        <v>1.6361000000000001</v>
      </c>
      <c r="C402" s="40">
        <v>0.28000000000000003</v>
      </c>
      <c r="D402" s="40">
        <v>1589.09</v>
      </c>
      <c r="E402" s="40">
        <v>5440.16</v>
      </c>
      <c r="F402" s="40">
        <v>18.2</v>
      </c>
      <c r="G402" s="40">
        <v>19037740</v>
      </c>
      <c r="H402" s="40">
        <v>1.7134</v>
      </c>
      <c r="I402" s="40">
        <v>0.15</v>
      </c>
      <c r="J402" s="40">
        <v>1939.23</v>
      </c>
      <c r="K402" s="40">
        <v>8879.98</v>
      </c>
      <c r="L402" s="40">
        <v>16.600000000000001</v>
      </c>
      <c r="M402" s="40">
        <v>1362389</v>
      </c>
    </row>
    <row r="403" spans="1:13" x14ac:dyDescent="0.6">
      <c r="A403" s="41">
        <v>41426</v>
      </c>
      <c r="B403" s="40">
        <v>2.1309</v>
      </c>
      <c r="C403" s="40">
        <v>0.315</v>
      </c>
      <c r="D403" s="40">
        <v>1635.89</v>
      </c>
      <c r="E403" s="40">
        <v>5611.07</v>
      </c>
      <c r="F403" s="40">
        <v>18.600000000000001</v>
      </c>
      <c r="G403" s="40">
        <v>19593170</v>
      </c>
      <c r="H403" s="40">
        <v>2.0897999999999999</v>
      </c>
      <c r="I403" s="40">
        <v>0.15</v>
      </c>
      <c r="J403" s="40">
        <v>1979.39</v>
      </c>
      <c r="K403" s="40">
        <v>9090.64</v>
      </c>
      <c r="L403" s="40">
        <v>17.399999999999999</v>
      </c>
      <c r="M403" s="40">
        <v>1390547</v>
      </c>
    </row>
    <row r="404" spans="1:13" x14ac:dyDescent="0.6">
      <c r="A404" s="41">
        <v>41456</v>
      </c>
      <c r="B404" s="40">
        <v>2.4868000000000001</v>
      </c>
      <c r="C404" s="40">
        <v>0.28000000000000003</v>
      </c>
      <c r="D404" s="40">
        <v>1613.94</v>
      </c>
      <c r="E404" s="40">
        <v>5545.27</v>
      </c>
      <c r="F404" s="40">
        <v>18.3</v>
      </c>
      <c r="G404" s="40">
        <v>19275620</v>
      </c>
      <c r="H404" s="40">
        <v>2.3208000000000002</v>
      </c>
      <c r="I404" s="40">
        <v>0.15</v>
      </c>
      <c r="J404" s="40">
        <v>1908.85</v>
      </c>
      <c r="K404" s="40">
        <v>8790.07</v>
      </c>
      <c r="L404" s="40">
        <v>16.8</v>
      </c>
      <c r="M404" s="40">
        <v>1341184</v>
      </c>
    </row>
    <row r="405" spans="1:13" x14ac:dyDescent="0.6">
      <c r="A405" s="41">
        <v>41487</v>
      </c>
      <c r="B405" s="40">
        <v>2.7223000000000002</v>
      </c>
      <c r="C405" s="40">
        <v>0.32</v>
      </c>
      <c r="D405" s="40">
        <v>1704.89</v>
      </c>
      <c r="E405" s="40">
        <v>5868.88</v>
      </c>
      <c r="F405" s="40">
        <v>18.899999999999999</v>
      </c>
      <c r="G405" s="40">
        <v>20388100</v>
      </c>
      <c r="H405" s="40">
        <v>2.2208999999999999</v>
      </c>
      <c r="I405" s="40">
        <v>0.15</v>
      </c>
      <c r="J405" s="40">
        <v>2053.67</v>
      </c>
      <c r="K405" s="40">
        <v>9485.09</v>
      </c>
      <c r="L405" s="40">
        <v>17.899999999999999</v>
      </c>
      <c r="M405" s="40">
        <v>1448158</v>
      </c>
    </row>
    <row r="406" spans="1:13" x14ac:dyDescent="0.6">
      <c r="A406" s="41">
        <v>41518</v>
      </c>
      <c r="B406" s="40">
        <v>2.7479</v>
      </c>
      <c r="C406" s="40">
        <v>0.27</v>
      </c>
      <c r="D406" s="40">
        <v>1630.99</v>
      </c>
      <c r="E406" s="40">
        <v>5624.73</v>
      </c>
      <c r="F406" s="40">
        <v>18.100000000000001</v>
      </c>
      <c r="G406" s="40">
        <v>19490400</v>
      </c>
      <c r="H406" s="40">
        <v>2.5005999999999999</v>
      </c>
      <c r="I406" s="40">
        <v>0.15</v>
      </c>
      <c r="J406" s="40">
        <v>2034.45</v>
      </c>
      <c r="K406" s="40">
        <v>9421.74</v>
      </c>
      <c r="L406" s="40">
        <v>17.8</v>
      </c>
      <c r="M406" s="40">
        <v>1432757</v>
      </c>
    </row>
    <row r="407" spans="1:13" x14ac:dyDescent="0.6">
      <c r="A407" s="41">
        <v>41548</v>
      </c>
      <c r="B407" s="40">
        <v>2.6453000000000002</v>
      </c>
      <c r="C407" s="40">
        <v>0.22</v>
      </c>
      <c r="D407" s="40">
        <v>1700.27</v>
      </c>
      <c r="E407" s="40">
        <v>5873.85</v>
      </c>
      <c r="F407" s="40">
        <v>18.8</v>
      </c>
      <c r="G407" s="40">
        <v>20279340</v>
      </c>
      <c r="H407" s="40">
        <v>2.3298999999999999</v>
      </c>
      <c r="I407" s="40">
        <v>0.16</v>
      </c>
      <c r="J407" s="40">
        <v>2144.06</v>
      </c>
      <c r="K407" s="40">
        <v>9954.44</v>
      </c>
      <c r="L407" s="40">
        <v>17.899999999999999</v>
      </c>
      <c r="M407" s="40">
        <v>1509901</v>
      </c>
    </row>
    <row r="408" spans="1:13" x14ac:dyDescent="0.6">
      <c r="A408" s="41">
        <v>41579</v>
      </c>
      <c r="B408" s="40">
        <v>2.6192000000000002</v>
      </c>
      <c r="C408" s="40">
        <v>0.22</v>
      </c>
      <c r="D408" s="40">
        <v>1762.59</v>
      </c>
      <c r="E408" s="40">
        <v>6100.44</v>
      </c>
      <c r="F408" s="40">
        <v>19.3</v>
      </c>
      <c r="G408" s="40">
        <v>21030130</v>
      </c>
      <c r="H408" s="40">
        <v>2.1612</v>
      </c>
      <c r="I408" s="40">
        <v>0.26</v>
      </c>
      <c r="J408" s="40">
        <v>2181.84</v>
      </c>
      <c r="K408" s="40">
        <v>10157.129999999999</v>
      </c>
      <c r="L408" s="40">
        <v>18.399999999999999</v>
      </c>
      <c r="M408" s="40">
        <v>1537675</v>
      </c>
    </row>
    <row r="409" spans="1:13" x14ac:dyDescent="0.6">
      <c r="A409" s="41">
        <v>41609</v>
      </c>
      <c r="B409" s="40">
        <v>2.8016999999999999</v>
      </c>
      <c r="C409" s="40">
        <v>0.21</v>
      </c>
      <c r="D409" s="40">
        <v>1792.3</v>
      </c>
      <c r="E409" s="40">
        <v>6213.46</v>
      </c>
      <c r="F409" s="40">
        <v>19.600000000000001</v>
      </c>
      <c r="G409" s="40">
        <v>21362820</v>
      </c>
      <c r="H409" s="40">
        <v>2.3730000000000002</v>
      </c>
      <c r="I409" s="40">
        <v>0.2</v>
      </c>
      <c r="J409" s="40">
        <v>2188.69</v>
      </c>
      <c r="K409" s="40">
        <v>10213.709999999999</v>
      </c>
      <c r="L409" s="40">
        <v>18.600000000000001</v>
      </c>
      <c r="M409" s="40">
        <v>1543595</v>
      </c>
    </row>
    <row r="410" spans="1:13" x14ac:dyDescent="0.6">
      <c r="A410" s="41">
        <v>41640</v>
      </c>
      <c r="B410" s="40">
        <v>3.0066999999999999</v>
      </c>
      <c r="C410" s="40">
        <v>0.21</v>
      </c>
      <c r="D410" s="40">
        <v>1840.11</v>
      </c>
      <c r="E410" s="40">
        <v>6390.17</v>
      </c>
      <c r="F410" s="40">
        <v>19.899999999999999</v>
      </c>
      <c r="G410" s="40">
        <v>21925420</v>
      </c>
      <c r="H410" s="40">
        <v>2.5720000000000001</v>
      </c>
      <c r="I410" s="40">
        <v>0.25</v>
      </c>
      <c r="J410" s="40">
        <v>2200.1999999999998</v>
      </c>
      <c r="K410" s="40">
        <v>10294.06</v>
      </c>
      <c r="L410" s="40">
        <v>18.7</v>
      </c>
      <c r="M410" s="40">
        <v>1551399</v>
      </c>
    </row>
    <row r="411" spans="1:13" x14ac:dyDescent="0.6">
      <c r="A411" s="41">
        <v>41671</v>
      </c>
      <c r="B411" s="40">
        <v>2.5901999999999998</v>
      </c>
      <c r="C411" s="40">
        <v>0.26</v>
      </c>
      <c r="D411" s="40">
        <v>1741.25</v>
      </c>
      <c r="E411" s="40">
        <v>6057.67</v>
      </c>
      <c r="F411" s="40">
        <v>18.2</v>
      </c>
      <c r="G411" s="40">
        <v>20820380</v>
      </c>
      <c r="H411" s="40">
        <v>2.2229999999999999</v>
      </c>
      <c r="I411" s="40">
        <v>0.25</v>
      </c>
      <c r="J411" s="40">
        <v>2129.5300000000002</v>
      </c>
      <c r="K411" s="40">
        <v>9989.7999999999993</v>
      </c>
      <c r="L411" s="40">
        <v>18.3</v>
      </c>
      <c r="M411" s="40">
        <v>1508016</v>
      </c>
    </row>
    <row r="412" spans="1:13" x14ac:dyDescent="0.6">
      <c r="A412" s="41">
        <v>41699</v>
      </c>
      <c r="B412" s="40">
        <v>2.6074999999999999</v>
      </c>
      <c r="C412" s="40">
        <v>0.30499999999999999</v>
      </c>
      <c r="D412" s="40">
        <v>1849.61</v>
      </c>
      <c r="E412" s="40">
        <v>6444.77</v>
      </c>
      <c r="F412" s="40">
        <v>19.100000000000001</v>
      </c>
      <c r="G412" s="40">
        <v>22128640</v>
      </c>
      <c r="H412" s="40">
        <v>2.1503999999999999</v>
      </c>
      <c r="I412" s="40">
        <v>0.24</v>
      </c>
      <c r="J412" s="40">
        <v>2231.52</v>
      </c>
      <c r="K412" s="40">
        <v>10492.36</v>
      </c>
      <c r="L412" s="40">
        <v>18.399999999999999</v>
      </c>
      <c r="M412" s="40">
        <v>1580813</v>
      </c>
    </row>
    <row r="413" spans="1:13" x14ac:dyDescent="0.6">
      <c r="A413" s="41">
        <v>41730</v>
      </c>
      <c r="B413" s="40">
        <v>2.7597</v>
      </c>
      <c r="C413" s="40">
        <v>0.24</v>
      </c>
      <c r="D413" s="40">
        <v>1884.3</v>
      </c>
      <c r="E413" s="40">
        <v>6576.39</v>
      </c>
      <c r="F413" s="40">
        <v>19.399999999999999</v>
      </c>
      <c r="G413" s="40">
        <v>22519570</v>
      </c>
      <c r="H413" s="40">
        <v>2.1080999999999999</v>
      </c>
      <c r="I413" s="40">
        <v>0.31</v>
      </c>
      <c r="J413" s="40">
        <v>2311.3000000000002</v>
      </c>
      <c r="K413" s="40">
        <v>10894.32</v>
      </c>
      <c r="L413" s="40">
        <v>18.600000000000001</v>
      </c>
      <c r="M413" s="40">
        <v>1637730</v>
      </c>
    </row>
    <row r="414" spans="1:13" x14ac:dyDescent="0.6">
      <c r="A414" s="41">
        <v>41760</v>
      </c>
      <c r="B414" s="40">
        <v>2.6067999999999998</v>
      </c>
      <c r="C414" s="40">
        <v>0.20499999999999999</v>
      </c>
      <c r="D414" s="40">
        <v>1879.53</v>
      </c>
      <c r="E414" s="40">
        <v>6571.12</v>
      </c>
      <c r="F414" s="40">
        <v>19.5</v>
      </c>
      <c r="G414" s="40">
        <v>22508530</v>
      </c>
      <c r="H414" s="40">
        <v>1.968</v>
      </c>
      <c r="I414" s="40">
        <v>0.32</v>
      </c>
      <c r="J414" s="40">
        <v>2326.77</v>
      </c>
      <c r="K414" s="40">
        <v>10994.84</v>
      </c>
      <c r="L414" s="40">
        <v>19.100000000000001</v>
      </c>
      <c r="M414" s="40">
        <v>1652414</v>
      </c>
    </row>
    <row r="415" spans="1:13" x14ac:dyDescent="0.6">
      <c r="A415" s="41">
        <v>41791</v>
      </c>
      <c r="B415" s="40">
        <v>2.5327999999999999</v>
      </c>
      <c r="C415" s="40">
        <v>0.27</v>
      </c>
      <c r="D415" s="40">
        <v>1918.65</v>
      </c>
      <c r="E415" s="40">
        <v>6719.62</v>
      </c>
      <c r="F415" s="40">
        <v>19.8</v>
      </c>
      <c r="G415" s="40">
        <v>22961490</v>
      </c>
      <c r="H415" s="40">
        <v>1.7666999999999999</v>
      </c>
      <c r="I415" s="40">
        <v>0.28000000000000003</v>
      </c>
      <c r="J415" s="40">
        <v>2351.7399999999998</v>
      </c>
      <c r="K415" s="40">
        <v>11140.08</v>
      </c>
      <c r="L415" s="40">
        <v>19.2</v>
      </c>
      <c r="M415" s="40">
        <v>1672072</v>
      </c>
    </row>
    <row r="416" spans="1:13" x14ac:dyDescent="0.6">
      <c r="A416" s="41">
        <v>41821</v>
      </c>
      <c r="B416" s="40">
        <v>2.5636999999999999</v>
      </c>
      <c r="C416" s="40">
        <v>0.28999999999999998</v>
      </c>
      <c r="D416" s="40">
        <v>1968.49</v>
      </c>
      <c r="E416" s="40">
        <v>6905.42</v>
      </c>
      <c r="F416" s="40">
        <v>20.399999999999999</v>
      </c>
      <c r="G416" s="40">
        <v>23527380</v>
      </c>
      <c r="H416" s="40">
        <v>1.7102999999999999</v>
      </c>
      <c r="I416" s="40">
        <v>0.17</v>
      </c>
      <c r="J416" s="40">
        <v>2314.33</v>
      </c>
      <c r="K416" s="40">
        <v>10988.36</v>
      </c>
      <c r="L416" s="40">
        <v>18.7</v>
      </c>
      <c r="M416" s="40">
        <v>1649324</v>
      </c>
    </row>
    <row r="417" spans="1:13" x14ac:dyDescent="0.6">
      <c r="A417" s="41">
        <v>41852</v>
      </c>
      <c r="B417" s="40">
        <v>2.5045000000000002</v>
      </c>
      <c r="C417" s="40">
        <v>0.2</v>
      </c>
      <c r="D417" s="40">
        <v>1915.74</v>
      </c>
      <c r="E417" s="40">
        <v>6732.3</v>
      </c>
      <c r="F417" s="40">
        <v>20</v>
      </c>
      <c r="G417" s="40">
        <v>22882560</v>
      </c>
      <c r="H417" s="40">
        <v>1.5196000000000001</v>
      </c>
      <c r="I417" s="40">
        <v>0.185</v>
      </c>
      <c r="J417" s="40">
        <v>2188.86</v>
      </c>
      <c r="K417" s="40">
        <v>10420.26</v>
      </c>
      <c r="L417" s="40">
        <v>17.8</v>
      </c>
      <c r="M417" s="40">
        <v>1559577</v>
      </c>
    </row>
    <row r="418" spans="1:13" x14ac:dyDescent="0.6">
      <c r="A418" s="41">
        <v>41883</v>
      </c>
      <c r="B418" s="40">
        <v>2.3454999999999999</v>
      </c>
      <c r="C418" s="40">
        <v>0.37</v>
      </c>
      <c r="D418" s="40">
        <v>1996.44</v>
      </c>
      <c r="E418" s="40">
        <v>7027.42</v>
      </c>
      <c r="F418" s="40">
        <v>20.6</v>
      </c>
      <c r="G418" s="40">
        <v>23822610</v>
      </c>
      <c r="H418" s="40">
        <v>1.2565999999999999</v>
      </c>
      <c r="I418" s="40">
        <v>0.12</v>
      </c>
      <c r="J418" s="40">
        <v>2262.5300000000002</v>
      </c>
      <c r="K418" s="40">
        <v>10797.68</v>
      </c>
      <c r="L418" s="40">
        <v>19.899999999999999</v>
      </c>
      <c r="M418" s="40">
        <v>1613043</v>
      </c>
    </row>
    <row r="419" spans="1:13" x14ac:dyDescent="0.6">
      <c r="A419" s="41">
        <v>41913</v>
      </c>
      <c r="B419" s="40">
        <v>2.4007999999999998</v>
      </c>
      <c r="C419" s="40">
        <v>0.27500000000000002</v>
      </c>
      <c r="D419" s="40">
        <v>1931.4</v>
      </c>
      <c r="E419" s="40">
        <v>6810.17</v>
      </c>
      <c r="F419" s="40">
        <v>19.899999999999999</v>
      </c>
      <c r="G419" s="40">
        <v>23017380</v>
      </c>
      <c r="H419" s="40">
        <v>1.2446999999999999</v>
      </c>
      <c r="I419" s="40">
        <v>0.04</v>
      </c>
      <c r="J419" s="40">
        <v>2242.0300000000002</v>
      </c>
      <c r="K419" s="40">
        <v>10726.77</v>
      </c>
      <c r="L419" s="40">
        <v>19.3</v>
      </c>
      <c r="M419" s="40">
        <v>1598877</v>
      </c>
    </row>
    <row r="420" spans="1:13" x14ac:dyDescent="0.6">
      <c r="A420" s="41">
        <v>41944</v>
      </c>
      <c r="B420" s="40">
        <v>2.3472</v>
      </c>
      <c r="C420" s="40">
        <v>0.28000000000000003</v>
      </c>
      <c r="D420" s="40">
        <v>2004.66</v>
      </c>
      <c r="E420" s="40">
        <v>7081.59</v>
      </c>
      <c r="F420" s="40">
        <v>20.2</v>
      </c>
      <c r="G420" s="40">
        <v>23925620</v>
      </c>
      <c r="H420" s="40">
        <v>1.2267999999999999</v>
      </c>
      <c r="I420" s="40">
        <v>0.04</v>
      </c>
      <c r="J420" s="40">
        <v>2177.5100000000002</v>
      </c>
      <c r="K420" s="40">
        <v>10447.450000000001</v>
      </c>
      <c r="L420" s="40">
        <v>18.7</v>
      </c>
      <c r="M420" s="40">
        <v>1557468</v>
      </c>
    </row>
    <row r="421" spans="1:13" x14ac:dyDescent="0.6">
      <c r="A421" s="41">
        <v>41974</v>
      </c>
      <c r="B421" s="40">
        <v>2.2191999999999998</v>
      </c>
      <c r="C421" s="40">
        <v>0.315</v>
      </c>
      <c r="D421" s="40">
        <v>2035.22</v>
      </c>
      <c r="E421" s="40">
        <v>7200.64</v>
      </c>
      <c r="F421" s="40">
        <v>20.100000000000001</v>
      </c>
      <c r="G421" s="40">
        <v>24291060</v>
      </c>
      <c r="H421" s="40">
        <v>0.98550000000000004</v>
      </c>
      <c r="I421" s="40">
        <v>0.04</v>
      </c>
      <c r="J421" s="40">
        <v>2282.4299999999998</v>
      </c>
      <c r="K421" s="40">
        <v>10976.56</v>
      </c>
      <c r="L421" s="40">
        <v>19.899999999999999</v>
      </c>
      <c r="M421" s="40">
        <v>1635886</v>
      </c>
    </row>
    <row r="422" spans="1:13" x14ac:dyDescent="0.6">
      <c r="A422" s="41">
        <v>42005</v>
      </c>
      <c r="B422" s="40">
        <v>2.1709000000000001</v>
      </c>
      <c r="C422" s="40">
        <v>0.42499999999999999</v>
      </c>
      <c r="D422" s="40">
        <v>2043.31</v>
      </c>
      <c r="E422" s="40">
        <v>7242.15</v>
      </c>
      <c r="F422" s="40">
        <v>20.100000000000001</v>
      </c>
      <c r="G422" s="40">
        <v>24377940</v>
      </c>
      <c r="H422" s="40">
        <v>0.83730000000000004</v>
      </c>
      <c r="I422" s="40">
        <v>9.5000000000000001E-2</v>
      </c>
      <c r="J422" s="40">
        <v>2253.4699999999998</v>
      </c>
      <c r="K422" s="40">
        <v>10866.38</v>
      </c>
      <c r="L422" s="40">
        <v>19.7</v>
      </c>
      <c r="M422" s="40">
        <v>1604686</v>
      </c>
    </row>
    <row r="423" spans="1:13" x14ac:dyDescent="0.6">
      <c r="A423" s="41">
        <v>42036</v>
      </c>
      <c r="B423" s="40">
        <v>1.6746000000000001</v>
      </c>
      <c r="C423" s="40">
        <v>0.36</v>
      </c>
      <c r="D423" s="40">
        <v>2016.9</v>
      </c>
      <c r="E423" s="40">
        <v>7160.89</v>
      </c>
      <c r="F423" s="40">
        <v>20.6</v>
      </c>
      <c r="G423" s="40">
        <v>24103250</v>
      </c>
      <c r="H423" s="40">
        <v>0.55349999999999999</v>
      </c>
      <c r="I423" s="40">
        <v>0.02</v>
      </c>
      <c r="J423" s="40">
        <v>2428.9</v>
      </c>
      <c r="K423" s="40">
        <v>11741.5</v>
      </c>
      <c r="L423" s="40">
        <v>21.2</v>
      </c>
      <c r="M423" s="40">
        <v>1735275</v>
      </c>
    </row>
    <row r="424" spans="1:13" x14ac:dyDescent="0.6">
      <c r="A424" s="41">
        <v>42064</v>
      </c>
      <c r="B424" s="40">
        <v>2.0899000000000001</v>
      </c>
      <c r="C424" s="40">
        <v>0.31</v>
      </c>
      <c r="D424" s="40">
        <v>2108.5300000000002</v>
      </c>
      <c r="E424" s="40">
        <v>7497.68</v>
      </c>
      <c r="F424" s="40">
        <v>21.4</v>
      </c>
      <c r="G424" s="40">
        <v>25164220</v>
      </c>
      <c r="H424" s="40">
        <v>0.57210000000000005</v>
      </c>
      <c r="I424" s="40">
        <v>5.5E-2</v>
      </c>
      <c r="J424" s="40">
        <v>2599.77</v>
      </c>
      <c r="K424" s="40">
        <v>12593.83</v>
      </c>
      <c r="L424" s="40">
        <v>22.9</v>
      </c>
      <c r="M424" s="40">
        <v>1857856</v>
      </c>
    </row>
    <row r="425" spans="1:13" x14ac:dyDescent="0.6">
      <c r="A425" s="41">
        <v>42095</v>
      </c>
      <c r="B425" s="40">
        <v>1.8594999999999999</v>
      </c>
      <c r="C425" s="40">
        <v>0.36</v>
      </c>
      <c r="D425" s="40">
        <v>2059.6799999999998</v>
      </c>
      <c r="E425" s="40">
        <v>7336.5</v>
      </c>
      <c r="F425" s="40">
        <v>21</v>
      </c>
      <c r="G425" s="40">
        <v>24538530</v>
      </c>
      <c r="H425" s="40">
        <v>0.45689999999999997</v>
      </c>
      <c r="I425" s="40">
        <v>-0.01</v>
      </c>
      <c r="J425" s="40">
        <v>2658.22</v>
      </c>
      <c r="K425" s="40">
        <v>12905.85</v>
      </c>
      <c r="L425" s="40">
        <v>22.4</v>
      </c>
      <c r="M425" s="40">
        <v>1900327</v>
      </c>
    </row>
    <row r="426" spans="1:13" x14ac:dyDescent="0.6">
      <c r="A426" s="41">
        <v>42125</v>
      </c>
      <c r="B426" s="40">
        <v>2.1122000000000001</v>
      </c>
      <c r="C426" s="40">
        <v>0.3</v>
      </c>
      <c r="D426" s="40">
        <v>2096.2399999999998</v>
      </c>
      <c r="E426" s="40">
        <v>7479.42</v>
      </c>
      <c r="F426" s="40">
        <v>21.4</v>
      </c>
      <c r="G426" s="40">
        <v>24996260</v>
      </c>
      <c r="H426" s="40">
        <v>0.64810000000000001</v>
      </c>
      <c r="I426" s="40">
        <v>-3.5000000000000003E-2</v>
      </c>
      <c r="J426" s="40">
        <v>2664.76</v>
      </c>
      <c r="K426" s="40">
        <v>12966.27</v>
      </c>
      <c r="L426" s="40">
        <v>22.6</v>
      </c>
      <c r="M426" s="40">
        <v>1908709</v>
      </c>
    </row>
    <row r="427" spans="1:13" x14ac:dyDescent="0.6">
      <c r="A427" s="41">
        <v>42156</v>
      </c>
      <c r="B427" s="40">
        <v>2.1818</v>
      </c>
      <c r="C427" s="40">
        <v>0.28000000000000003</v>
      </c>
      <c r="D427" s="40">
        <v>2101.84</v>
      </c>
      <c r="E427" s="40">
        <v>7511.72</v>
      </c>
      <c r="F427" s="40">
        <v>21.6</v>
      </c>
      <c r="G427" s="40">
        <v>25030660</v>
      </c>
      <c r="H427" s="40">
        <v>0.82579999999999998</v>
      </c>
      <c r="I427" s="40">
        <v>-3.5000000000000003E-2</v>
      </c>
      <c r="J427" s="40">
        <v>2670.37</v>
      </c>
      <c r="K427" s="40">
        <v>13021.52</v>
      </c>
      <c r="L427" s="40">
        <v>22.4</v>
      </c>
      <c r="M427" s="40">
        <v>1912242</v>
      </c>
    </row>
    <row r="428" spans="1:13" x14ac:dyDescent="0.6">
      <c r="A428" s="41">
        <v>42186</v>
      </c>
      <c r="B428" s="40">
        <v>2.4262999999999999</v>
      </c>
      <c r="C428" s="40">
        <v>0.44</v>
      </c>
      <c r="D428" s="40">
        <v>2064.29</v>
      </c>
      <c r="E428" s="40">
        <v>7390.41</v>
      </c>
      <c r="F428" s="40">
        <v>21.2</v>
      </c>
      <c r="G428" s="40">
        <v>24530450</v>
      </c>
      <c r="H428" s="40">
        <v>1.2522</v>
      </c>
      <c r="I428" s="40">
        <v>-0.06</v>
      </c>
      <c r="J428" s="40">
        <v>2579.25</v>
      </c>
      <c r="K428" s="40">
        <v>12606.98</v>
      </c>
      <c r="L428" s="40">
        <v>21.7</v>
      </c>
      <c r="M428" s="40">
        <v>1851454</v>
      </c>
    </row>
    <row r="429" spans="1:13" x14ac:dyDescent="0.6">
      <c r="A429" s="41">
        <v>42217</v>
      </c>
      <c r="B429" s="40">
        <v>2.149</v>
      </c>
      <c r="C429" s="40">
        <v>0.39500000000000002</v>
      </c>
      <c r="D429" s="40">
        <v>2087.79</v>
      </c>
      <c r="E429" s="40">
        <v>7488.21</v>
      </c>
      <c r="F429" s="40">
        <v>21.5</v>
      </c>
      <c r="G429" s="40">
        <v>24833920</v>
      </c>
      <c r="H429" s="40">
        <v>0.94399999999999995</v>
      </c>
      <c r="I429" s="40">
        <v>0.04</v>
      </c>
      <c r="J429" s="40">
        <v>2702.35</v>
      </c>
      <c r="K429" s="40">
        <v>13241.19</v>
      </c>
      <c r="L429" s="40">
        <v>22.7</v>
      </c>
      <c r="M429" s="40">
        <v>1945878</v>
      </c>
    </row>
    <row r="430" spans="1:13" x14ac:dyDescent="0.6">
      <c r="A430" s="41">
        <v>42248</v>
      </c>
      <c r="B430" s="40">
        <v>2.1585000000000001</v>
      </c>
      <c r="C430" s="40">
        <v>0.435</v>
      </c>
      <c r="D430" s="40">
        <v>1906.27</v>
      </c>
      <c r="E430" s="40">
        <v>6849.09</v>
      </c>
      <c r="F430" s="40">
        <v>19.8</v>
      </c>
      <c r="G430" s="40">
        <v>22624500</v>
      </c>
      <c r="H430" s="40">
        <v>1.1539999999999999</v>
      </c>
      <c r="I430" s="40">
        <v>-7.0000000000000007E-2</v>
      </c>
      <c r="J430" s="40">
        <v>2412.5300000000002</v>
      </c>
      <c r="K430" s="40">
        <v>11848.23</v>
      </c>
      <c r="L430" s="40">
        <v>18.8</v>
      </c>
      <c r="M430" s="40">
        <v>1737457</v>
      </c>
    </row>
    <row r="431" spans="1:13" x14ac:dyDescent="0.6">
      <c r="A431" s="41">
        <v>42278</v>
      </c>
      <c r="B431" s="40">
        <v>2.0411999999999999</v>
      </c>
      <c r="C431" s="40">
        <v>0.56999999999999995</v>
      </c>
      <c r="D431" s="40">
        <v>1909.81</v>
      </c>
      <c r="E431" s="40">
        <v>6875.03</v>
      </c>
      <c r="F431" s="40">
        <v>19.8</v>
      </c>
      <c r="G431" s="40">
        <v>22640930</v>
      </c>
      <c r="H431" s="40">
        <v>0.85870000000000002</v>
      </c>
      <c r="I431" s="40">
        <v>-7.0000000000000007E-2</v>
      </c>
      <c r="J431" s="40">
        <v>2352.9899999999998</v>
      </c>
      <c r="K431" s="40">
        <v>11585.51</v>
      </c>
      <c r="L431" s="40">
        <v>18.2</v>
      </c>
      <c r="M431" s="40">
        <v>1693215</v>
      </c>
    </row>
    <row r="432" spans="1:13" x14ac:dyDescent="0.6">
      <c r="A432" s="41">
        <v>42309</v>
      </c>
      <c r="B432" s="40">
        <v>2.1755</v>
      </c>
      <c r="C432" s="40">
        <v>0.26500000000000001</v>
      </c>
      <c r="D432" s="40">
        <v>2075.06</v>
      </c>
      <c r="E432" s="40">
        <v>7483.71</v>
      </c>
      <c r="F432" s="40">
        <v>21.5</v>
      </c>
      <c r="G432" s="40">
        <v>24529460</v>
      </c>
      <c r="H432" s="40">
        <v>0.93169999999999997</v>
      </c>
      <c r="I432" s="40">
        <v>-0.09</v>
      </c>
      <c r="J432" s="40">
        <v>2588.0100000000002</v>
      </c>
      <c r="K432" s="40">
        <v>12774.15</v>
      </c>
      <c r="L432" s="40">
        <v>19.8</v>
      </c>
      <c r="M432" s="40">
        <v>1847434</v>
      </c>
    </row>
    <row r="433" spans="1:13" x14ac:dyDescent="0.6">
      <c r="A433" s="41">
        <v>42339</v>
      </c>
      <c r="B433" s="40">
        <v>2.145</v>
      </c>
      <c r="C433" s="40">
        <v>0.89</v>
      </c>
      <c r="D433" s="40">
        <v>2067.83</v>
      </c>
      <c r="E433" s="40">
        <v>7470.63</v>
      </c>
      <c r="F433" s="40">
        <v>21.6</v>
      </c>
      <c r="G433" s="40">
        <v>24409460</v>
      </c>
      <c r="H433" s="40">
        <v>0.7843</v>
      </c>
      <c r="I433" s="40">
        <v>-0.18</v>
      </c>
      <c r="J433" s="40">
        <v>2598.02</v>
      </c>
      <c r="K433" s="40">
        <v>12852.87</v>
      </c>
      <c r="L433" s="40">
        <v>20.2</v>
      </c>
      <c r="M433" s="40">
        <v>1855220</v>
      </c>
    </row>
    <row r="434" spans="1:13" x14ac:dyDescent="0.6">
      <c r="A434" s="41">
        <v>42370</v>
      </c>
      <c r="B434" s="40">
        <v>2.2694999999999999</v>
      </c>
      <c r="C434" s="40">
        <v>0.755</v>
      </c>
      <c r="D434" s="40">
        <v>2014.37</v>
      </c>
      <c r="E434" s="40">
        <v>7291.8</v>
      </c>
      <c r="F434" s="40">
        <v>21.1</v>
      </c>
      <c r="G434" s="40">
        <v>23712610</v>
      </c>
      <c r="H434" s="40">
        <v>0.98089999999999999</v>
      </c>
      <c r="I434" s="40">
        <v>-5.5E-2</v>
      </c>
      <c r="J434" s="40">
        <v>2477.5500000000002</v>
      </c>
      <c r="K434" s="40">
        <v>12288.59</v>
      </c>
      <c r="L434" s="40">
        <v>19.5</v>
      </c>
      <c r="M434" s="40">
        <v>1765387</v>
      </c>
    </row>
    <row r="435" spans="1:13" x14ac:dyDescent="0.6">
      <c r="A435" s="41">
        <v>42401</v>
      </c>
      <c r="B435" s="40">
        <v>1.9661</v>
      </c>
      <c r="C435" s="40">
        <v>0.75</v>
      </c>
      <c r="D435" s="40">
        <v>1909.81</v>
      </c>
      <c r="E435" s="40">
        <v>6926.52</v>
      </c>
      <c r="F435" s="40">
        <v>19.600000000000001</v>
      </c>
      <c r="G435" s="40">
        <v>22449170</v>
      </c>
      <c r="H435" s="40">
        <v>0.68</v>
      </c>
      <c r="I435" s="40">
        <v>-0.15</v>
      </c>
      <c r="J435" s="40">
        <v>2364.75</v>
      </c>
      <c r="K435" s="40">
        <v>11758.52</v>
      </c>
      <c r="L435" s="40">
        <v>18.399999999999999</v>
      </c>
      <c r="M435" s="40">
        <v>1695271</v>
      </c>
    </row>
    <row r="436" spans="1:13" x14ac:dyDescent="0.6">
      <c r="A436" s="41">
        <v>42430</v>
      </c>
      <c r="B436" s="40">
        <v>1.8353999999999999</v>
      </c>
      <c r="C436" s="40">
        <v>0.56499999999999995</v>
      </c>
      <c r="D436" s="40">
        <v>1945.17</v>
      </c>
      <c r="E436" s="40">
        <v>7068.37</v>
      </c>
      <c r="F436" s="40">
        <v>20.2</v>
      </c>
      <c r="G436" s="40">
        <v>22804340</v>
      </c>
      <c r="H436" s="40">
        <v>0.51149999999999995</v>
      </c>
      <c r="I436" s="40">
        <v>-0.25</v>
      </c>
      <c r="J436" s="40">
        <v>2365.6999999999998</v>
      </c>
      <c r="K436" s="40">
        <v>11794.36</v>
      </c>
      <c r="L436" s="40">
        <v>18.399999999999999</v>
      </c>
      <c r="M436" s="40">
        <v>1692669</v>
      </c>
    </row>
    <row r="437" spans="1:13" x14ac:dyDescent="0.6">
      <c r="A437" s="41">
        <v>42461</v>
      </c>
      <c r="B437" s="40">
        <v>1.7916000000000001</v>
      </c>
      <c r="C437" s="40">
        <v>0.79</v>
      </c>
      <c r="D437" s="40">
        <v>2041.16</v>
      </c>
      <c r="E437" s="40">
        <v>7432</v>
      </c>
      <c r="F437" s="40">
        <v>21.1</v>
      </c>
      <c r="G437" s="40">
        <v>23848880</v>
      </c>
      <c r="H437" s="40">
        <v>0.39019999999999999</v>
      </c>
      <c r="I437" s="40">
        <v>-0.31</v>
      </c>
      <c r="J437" s="40">
        <v>2328</v>
      </c>
      <c r="K437" s="40">
        <v>11640</v>
      </c>
      <c r="L437" s="40">
        <v>18.100000000000001</v>
      </c>
      <c r="M437" s="40">
        <v>1666682</v>
      </c>
    </row>
    <row r="438" spans="1:13" x14ac:dyDescent="0.6">
      <c r="A438" s="41">
        <v>42491</v>
      </c>
      <c r="B438" s="40">
        <v>1.8653999999999999</v>
      </c>
      <c r="C438" s="40">
        <v>0.79</v>
      </c>
      <c r="D438" s="40">
        <v>2051.5300000000002</v>
      </c>
      <c r="E438" s="40">
        <v>7483.12</v>
      </c>
      <c r="F438" s="40">
        <v>21</v>
      </c>
      <c r="G438" s="40">
        <v>23993650</v>
      </c>
      <c r="H438" s="40">
        <v>0.62480000000000002</v>
      </c>
      <c r="I438" s="40">
        <v>-0.28999999999999998</v>
      </c>
      <c r="J438" s="40">
        <v>2384.5500000000002</v>
      </c>
      <c r="K438" s="40">
        <v>11955.25</v>
      </c>
      <c r="L438" s="40">
        <v>18.100000000000001</v>
      </c>
      <c r="M438" s="40">
        <v>1711344</v>
      </c>
    </row>
    <row r="439" spans="1:13" x14ac:dyDescent="0.6">
      <c r="A439" s="41">
        <v>42522</v>
      </c>
      <c r="B439" s="40">
        <v>1.845</v>
      </c>
      <c r="C439" s="40">
        <v>0.61499999999999999</v>
      </c>
      <c r="D439" s="40">
        <v>2070.17</v>
      </c>
      <c r="E439" s="40">
        <v>7565.38</v>
      </c>
      <c r="F439" s="40">
        <v>21.3</v>
      </c>
      <c r="G439" s="40">
        <v>24171380</v>
      </c>
      <c r="H439" s="40">
        <v>0.48010000000000003</v>
      </c>
      <c r="I439" s="40">
        <v>-0.29499999999999998</v>
      </c>
      <c r="J439" s="40">
        <v>2399.31</v>
      </c>
      <c r="K439" s="40">
        <v>12063.82</v>
      </c>
      <c r="L439" s="40">
        <v>17.7</v>
      </c>
      <c r="M439" s="40">
        <v>1722835</v>
      </c>
    </row>
    <row r="440" spans="1:13" x14ac:dyDescent="0.6">
      <c r="A440" s="41">
        <v>42552</v>
      </c>
      <c r="B440" s="40">
        <v>1.4555</v>
      </c>
      <c r="C440" s="40">
        <v>1.05</v>
      </c>
      <c r="D440" s="40">
        <v>2079.92</v>
      </c>
      <c r="E440" s="40">
        <v>7615.29</v>
      </c>
      <c r="F440" s="40">
        <v>21.4</v>
      </c>
      <c r="G440" s="40">
        <v>24213920</v>
      </c>
      <c r="H440" s="40">
        <v>0.16600000000000001</v>
      </c>
      <c r="I440" s="40">
        <v>-0.30499999999999999</v>
      </c>
      <c r="J440" s="40">
        <v>2290.4699999999998</v>
      </c>
      <c r="K440" s="40">
        <v>11550.39</v>
      </c>
      <c r="L440" s="40">
        <v>17.100000000000001</v>
      </c>
      <c r="M440" s="40">
        <v>1647758</v>
      </c>
    </row>
    <row r="441" spans="1:13" x14ac:dyDescent="0.6">
      <c r="A441" s="41">
        <v>42583</v>
      </c>
      <c r="B441" s="40">
        <v>1.4968999999999999</v>
      </c>
      <c r="C441" s="40">
        <v>0.69499999999999995</v>
      </c>
      <c r="D441" s="40">
        <v>2143.88</v>
      </c>
      <c r="E441" s="40">
        <v>7863.22</v>
      </c>
      <c r="F441" s="40">
        <v>22</v>
      </c>
      <c r="G441" s="40">
        <v>25009920</v>
      </c>
      <c r="H441" s="40">
        <v>0.1283</v>
      </c>
      <c r="I441" s="40">
        <v>-0.315</v>
      </c>
      <c r="J441" s="40">
        <v>2364.19</v>
      </c>
      <c r="K441" s="40">
        <v>11955.31</v>
      </c>
      <c r="L441" s="40">
        <v>16.899999999999999</v>
      </c>
      <c r="M441" s="40">
        <v>1702495</v>
      </c>
    </row>
    <row r="442" spans="1:13" x14ac:dyDescent="0.6">
      <c r="A442" s="41">
        <v>42614</v>
      </c>
      <c r="B442" s="40">
        <v>1.569</v>
      </c>
      <c r="C442" s="40">
        <v>0.85</v>
      </c>
      <c r="D442" s="40">
        <v>2141.9499999999998</v>
      </c>
      <c r="E442" s="40">
        <v>7871.1</v>
      </c>
      <c r="F442" s="40">
        <v>22</v>
      </c>
      <c r="G442" s="40">
        <v>24991330</v>
      </c>
      <c r="H442" s="40">
        <v>0.1832</v>
      </c>
      <c r="I442" s="40">
        <v>-0.33500000000000002</v>
      </c>
      <c r="J442" s="40">
        <v>2387.7600000000002</v>
      </c>
      <c r="K442" s="40">
        <v>12110.3</v>
      </c>
      <c r="L442" s="40">
        <v>16.399999999999999</v>
      </c>
      <c r="M442" s="40">
        <v>1719045</v>
      </c>
    </row>
    <row r="443" spans="1:13" x14ac:dyDescent="0.6">
      <c r="A443" s="41">
        <v>42644</v>
      </c>
      <c r="B443" s="40">
        <v>1.6231</v>
      </c>
      <c r="C443" s="40">
        <v>1.01</v>
      </c>
      <c r="D443" s="40">
        <v>2127.81</v>
      </c>
      <c r="E443" s="40">
        <v>7833.52</v>
      </c>
      <c r="F443" s="40">
        <v>21.8</v>
      </c>
      <c r="G443" s="40">
        <v>24738660</v>
      </c>
      <c r="H443" s="40">
        <v>0.14949999999999999</v>
      </c>
      <c r="I443" s="40">
        <v>-0.34</v>
      </c>
      <c r="J443" s="40">
        <v>2395.9699999999998</v>
      </c>
      <c r="K443" s="40">
        <v>12186.17</v>
      </c>
      <c r="L443" s="40">
        <v>17</v>
      </c>
      <c r="M443" s="40">
        <v>1729891</v>
      </c>
    </row>
    <row r="444" spans="1:13" x14ac:dyDescent="0.6">
      <c r="A444" s="41">
        <v>42675</v>
      </c>
      <c r="B444" s="40">
        <v>1.8196000000000001</v>
      </c>
      <c r="C444" s="40">
        <v>0.81499999999999995</v>
      </c>
      <c r="D444" s="40">
        <v>2074.3000000000002</v>
      </c>
      <c r="E444" s="40">
        <v>7650.08</v>
      </c>
      <c r="F444" s="40">
        <v>21.3</v>
      </c>
      <c r="G444" s="40">
        <v>24131090</v>
      </c>
      <c r="H444" s="40">
        <v>0.50970000000000004</v>
      </c>
      <c r="I444" s="40">
        <v>-0.315</v>
      </c>
      <c r="J444" s="40">
        <v>2413.29</v>
      </c>
      <c r="K444" s="40">
        <v>12306.96</v>
      </c>
      <c r="L444" s="40">
        <v>16.899999999999999</v>
      </c>
      <c r="M444" s="40">
        <v>1745745</v>
      </c>
    </row>
    <row r="445" spans="1:13" x14ac:dyDescent="0.6">
      <c r="A445" s="41">
        <v>42705</v>
      </c>
      <c r="B445" s="40">
        <v>2.4546000000000001</v>
      </c>
      <c r="C445" s="40">
        <v>0.96499999999999997</v>
      </c>
      <c r="D445" s="40">
        <v>2141.9899999999998</v>
      </c>
      <c r="E445" s="40">
        <v>7914.43</v>
      </c>
      <c r="F445" s="40">
        <v>21.8</v>
      </c>
      <c r="G445" s="40">
        <v>24896420</v>
      </c>
      <c r="H445" s="40">
        <v>0.78910000000000002</v>
      </c>
      <c r="I445" s="40">
        <v>-0.35</v>
      </c>
      <c r="J445" s="40">
        <v>2447.75</v>
      </c>
      <c r="K445" s="40">
        <v>12518.05</v>
      </c>
      <c r="L445" s="40">
        <v>17.100000000000001</v>
      </c>
      <c r="M445" s="40">
        <v>1758509</v>
      </c>
    </row>
    <row r="446" spans="1:13" x14ac:dyDescent="0.6">
      <c r="A446" s="41">
        <v>42736</v>
      </c>
      <c r="B446" s="40">
        <v>2.4321999999999999</v>
      </c>
      <c r="C446" s="40">
        <v>1.1000000000000001</v>
      </c>
      <c r="D446" s="40">
        <v>2190.23</v>
      </c>
      <c r="E446" s="40">
        <v>8107.41</v>
      </c>
      <c r="F446" s="40">
        <v>22.3</v>
      </c>
      <c r="G446" s="40">
        <v>25409650</v>
      </c>
      <c r="H446" s="40">
        <v>0.66710000000000003</v>
      </c>
      <c r="I446" s="40">
        <v>-0.36499999999999999</v>
      </c>
      <c r="J446" s="40">
        <v>2618.38</v>
      </c>
      <c r="K446" s="40">
        <v>13426.64</v>
      </c>
      <c r="L446" s="40">
        <v>18.2</v>
      </c>
      <c r="M446" s="40">
        <v>1873369</v>
      </c>
    </row>
    <row r="447" spans="1:13" x14ac:dyDescent="0.6">
      <c r="A447" s="41">
        <v>42767</v>
      </c>
      <c r="B447" s="40">
        <v>2.4742000000000002</v>
      </c>
      <c r="C447" s="40">
        <v>0.96499999999999997</v>
      </c>
      <c r="D447" s="40">
        <v>2233.66</v>
      </c>
      <c r="E447" s="40">
        <v>8283.06</v>
      </c>
      <c r="F447" s="40">
        <v>22.7</v>
      </c>
      <c r="G447" s="40">
        <v>25926690</v>
      </c>
      <c r="H447" s="40">
        <v>1.0911999999999999</v>
      </c>
      <c r="I447" s="40">
        <v>-0.38500000000000001</v>
      </c>
      <c r="J447" s="40">
        <v>2598.79</v>
      </c>
      <c r="K447" s="40">
        <v>13360.99</v>
      </c>
      <c r="L447" s="40">
        <v>18.2</v>
      </c>
      <c r="M447" s="40">
        <v>1868717</v>
      </c>
    </row>
    <row r="448" spans="1:13" x14ac:dyDescent="0.6">
      <c r="A448" s="41">
        <v>42795</v>
      </c>
      <c r="B448" s="40">
        <v>2.4626000000000001</v>
      </c>
      <c r="C448" s="40">
        <v>1.0249999999999999</v>
      </c>
      <c r="D448" s="40">
        <v>2344.39</v>
      </c>
      <c r="E448" s="40">
        <v>8707.7099999999991</v>
      </c>
      <c r="F448" s="40">
        <v>23.4</v>
      </c>
      <c r="G448" s="40">
        <v>27179900</v>
      </c>
      <c r="H448" s="40">
        <v>0.93279999999999996</v>
      </c>
      <c r="I448" s="40">
        <v>-0.36499999999999999</v>
      </c>
      <c r="J448" s="40">
        <v>2675.4</v>
      </c>
      <c r="K448" s="40">
        <v>13788.03</v>
      </c>
      <c r="L448" s="40">
        <v>17.600000000000001</v>
      </c>
      <c r="M448" s="40">
        <v>1923777</v>
      </c>
    </row>
    <row r="449" spans="1:13" x14ac:dyDescent="0.6">
      <c r="A449" s="41">
        <v>42826</v>
      </c>
      <c r="B449" s="40">
        <v>2.3504</v>
      </c>
      <c r="C449" s="40">
        <v>1.3</v>
      </c>
      <c r="D449" s="40">
        <v>2307.0100000000002</v>
      </c>
      <c r="E449" s="40">
        <v>8584.73</v>
      </c>
      <c r="F449" s="40">
        <v>23</v>
      </c>
      <c r="G449" s="40">
        <v>26737540</v>
      </c>
      <c r="H449" s="40">
        <v>0.95479999999999998</v>
      </c>
      <c r="I449" s="40">
        <v>-0.36499999999999999</v>
      </c>
      <c r="J449" s="40">
        <v>2755.46</v>
      </c>
      <c r="K449" s="40">
        <v>14238.5</v>
      </c>
      <c r="L449" s="40">
        <v>17.8</v>
      </c>
      <c r="M449" s="40">
        <v>1984968</v>
      </c>
    </row>
    <row r="450" spans="1:13" x14ac:dyDescent="0.6">
      <c r="A450" s="41">
        <v>42856</v>
      </c>
      <c r="B450" s="40">
        <v>2.3275000000000001</v>
      </c>
      <c r="C450" s="40">
        <v>1.105</v>
      </c>
      <c r="D450" s="40">
        <v>2336.04</v>
      </c>
      <c r="E450" s="40">
        <v>8706.75</v>
      </c>
      <c r="F450" s="40">
        <v>23.2</v>
      </c>
      <c r="G450" s="40">
        <v>27138300</v>
      </c>
      <c r="H450" s="40">
        <v>0.83660000000000001</v>
      </c>
      <c r="I450" s="40">
        <v>-0.38500000000000001</v>
      </c>
      <c r="J450" s="40">
        <v>2871</v>
      </c>
      <c r="K450" s="40">
        <v>14868.63</v>
      </c>
      <c r="L450" s="40">
        <v>18.100000000000001</v>
      </c>
      <c r="M450" s="40">
        <v>2073325</v>
      </c>
    </row>
    <row r="451" spans="1:13" x14ac:dyDescent="0.6">
      <c r="A451" s="41">
        <v>42887</v>
      </c>
      <c r="B451" s="40">
        <v>2.2155999999999998</v>
      </c>
      <c r="C451" s="40">
        <v>1.155</v>
      </c>
      <c r="D451" s="40">
        <v>2374.7800000000002</v>
      </c>
      <c r="E451" s="40">
        <v>8867.5400000000009</v>
      </c>
      <c r="F451" s="40">
        <v>23.1</v>
      </c>
      <c r="G451" s="40">
        <v>27586370</v>
      </c>
      <c r="H451" s="40">
        <v>0.73480000000000001</v>
      </c>
      <c r="I451" s="40">
        <v>-0.38</v>
      </c>
      <c r="J451" s="40">
        <v>2940.53</v>
      </c>
      <c r="K451" s="40">
        <v>15265.97</v>
      </c>
      <c r="L451" s="40">
        <v>18</v>
      </c>
      <c r="M451" s="40">
        <v>2124249</v>
      </c>
    </row>
    <row r="452" spans="1:13" x14ac:dyDescent="0.6">
      <c r="A452" s="41">
        <v>42917</v>
      </c>
      <c r="B452" s="40">
        <v>2.3454999999999999</v>
      </c>
      <c r="C452" s="40">
        <v>1.34</v>
      </c>
      <c r="D452" s="40">
        <v>2372.96</v>
      </c>
      <c r="E452" s="40">
        <v>8876.27</v>
      </c>
      <c r="F452" s="40">
        <v>23.1</v>
      </c>
      <c r="G452" s="40">
        <v>27528580</v>
      </c>
      <c r="H452" s="40">
        <v>0.83169999999999999</v>
      </c>
      <c r="I452" s="40">
        <v>-0.38</v>
      </c>
      <c r="J452" s="40">
        <v>2883.41</v>
      </c>
      <c r="K452" s="40">
        <v>15003.86</v>
      </c>
      <c r="L452" s="40">
        <v>17.600000000000001</v>
      </c>
      <c r="M452" s="40">
        <v>2085776</v>
      </c>
    </row>
    <row r="453" spans="1:13" x14ac:dyDescent="0.6">
      <c r="A453" s="41">
        <v>42948</v>
      </c>
      <c r="B453" s="40">
        <v>2.2507000000000001</v>
      </c>
      <c r="C453" s="40">
        <v>1.36</v>
      </c>
      <c r="D453" s="40">
        <v>2413.9</v>
      </c>
      <c r="E453" s="40">
        <v>9044.3799999999992</v>
      </c>
      <c r="F453" s="40">
        <v>23.3</v>
      </c>
      <c r="G453" s="40">
        <v>27846500</v>
      </c>
      <c r="H453" s="40">
        <v>0.75039999999999996</v>
      </c>
      <c r="I453" s="40">
        <v>-0.38</v>
      </c>
      <c r="J453" s="40">
        <v>2855.76</v>
      </c>
      <c r="K453" s="40">
        <v>14893.49</v>
      </c>
      <c r="L453" s="40">
        <v>16.7</v>
      </c>
      <c r="M453" s="40">
        <v>2044286</v>
      </c>
    </row>
    <row r="454" spans="1:13" x14ac:dyDescent="0.6">
      <c r="A454" s="41">
        <v>42979</v>
      </c>
      <c r="B454" s="40">
        <v>2.1560999999999999</v>
      </c>
      <c r="C454" s="40">
        <v>1.37</v>
      </c>
      <c r="D454" s="40">
        <v>2413.4299999999998</v>
      </c>
      <c r="E454" s="40">
        <v>9059.23</v>
      </c>
      <c r="F454" s="40">
        <v>22.9</v>
      </c>
      <c r="G454" s="40">
        <v>27814860</v>
      </c>
      <c r="H454" s="40">
        <v>0.68710000000000004</v>
      </c>
      <c r="I454" s="40">
        <v>-0.33</v>
      </c>
      <c r="J454" s="40">
        <v>2871.36</v>
      </c>
      <c r="K454" s="40">
        <v>15011.79</v>
      </c>
      <c r="L454" s="40">
        <v>17.600000000000001</v>
      </c>
      <c r="M454" s="40">
        <v>2055011</v>
      </c>
    </row>
    <row r="455" spans="1:13" x14ac:dyDescent="0.6">
      <c r="A455" s="41">
        <v>43009</v>
      </c>
      <c r="B455" s="40">
        <v>2.3363</v>
      </c>
      <c r="C455" s="40">
        <v>1.38</v>
      </c>
      <c r="D455" s="40">
        <v>2457.37</v>
      </c>
      <c r="E455" s="40">
        <v>9239.35</v>
      </c>
      <c r="F455" s="40">
        <v>23.3</v>
      </c>
      <c r="G455" s="40">
        <v>28280260</v>
      </c>
      <c r="H455" s="40">
        <v>0.74239999999999995</v>
      </c>
      <c r="I455" s="40">
        <v>-0.33</v>
      </c>
      <c r="J455" s="40">
        <v>3000.36</v>
      </c>
      <c r="K455" s="40">
        <v>15720.77</v>
      </c>
      <c r="L455" s="40">
        <v>18.5</v>
      </c>
      <c r="M455" s="40">
        <v>2148804</v>
      </c>
    </row>
    <row r="456" spans="1:13" x14ac:dyDescent="0.6">
      <c r="A456" s="41">
        <v>43040</v>
      </c>
      <c r="B456" s="40">
        <v>2.3714</v>
      </c>
      <c r="C456" s="40">
        <v>1.44</v>
      </c>
      <c r="D456" s="40">
        <v>2496.4</v>
      </c>
      <c r="E456" s="40">
        <v>9401.9500000000007</v>
      </c>
      <c r="F456" s="40">
        <v>23.5</v>
      </c>
      <c r="G456" s="40">
        <v>28742100</v>
      </c>
      <c r="H456" s="40">
        <v>0.63129999999999997</v>
      </c>
      <c r="I456" s="40">
        <v>-0.33</v>
      </c>
      <c r="J456" s="40">
        <v>3090.17</v>
      </c>
      <c r="K456" s="40">
        <v>16227.75</v>
      </c>
      <c r="L456" s="40">
        <v>18.8</v>
      </c>
      <c r="M456" s="40">
        <v>2199706</v>
      </c>
    </row>
    <row r="457" spans="1:13" x14ac:dyDescent="0.6">
      <c r="A457" s="41">
        <v>43070</v>
      </c>
      <c r="B457" s="40">
        <v>2.3641000000000001</v>
      </c>
      <c r="C457" s="40">
        <v>1.55</v>
      </c>
      <c r="D457" s="40">
        <v>2559.81</v>
      </c>
      <c r="E457" s="40">
        <v>9657.09</v>
      </c>
      <c r="F457" s="40">
        <v>24.1</v>
      </c>
      <c r="G457" s="40">
        <v>29453380</v>
      </c>
      <c r="H457" s="40">
        <v>0.50760000000000005</v>
      </c>
      <c r="I457" s="40">
        <v>-0.33</v>
      </c>
      <c r="J457" s="40">
        <v>2995.68</v>
      </c>
      <c r="K457" s="40">
        <v>15766.36</v>
      </c>
      <c r="L457" s="40">
        <v>18.3</v>
      </c>
      <c r="M457" s="40">
        <v>2133755</v>
      </c>
    </row>
    <row r="458" spans="1:13" x14ac:dyDescent="0.6">
      <c r="A458" s="41">
        <v>43101</v>
      </c>
      <c r="B458" s="40">
        <v>2.4116</v>
      </c>
      <c r="C458" s="40">
        <v>1.76</v>
      </c>
      <c r="D458" s="40">
        <v>2589.7600000000002</v>
      </c>
      <c r="E458" s="40">
        <v>9785.44</v>
      </c>
      <c r="F458" s="40">
        <v>24.3</v>
      </c>
      <c r="G458" s="40">
        <v>29768460</v>
      </c>
      <c r="H458" s="40">
        <v>0.66520000000000001</v>
      </c>
      <c r="I458" s="40">
        <v>-0.33</v>
      </c>
      <c r="J458" s="40">
        <v>3005.09</v>
      </c>
      <c r="K458" s="40">
        <v>15849.38</v>
      </c>
      <c r="L458" s="40">
        <v>18.399999999999999</v>
      </c>
      <c r="M458" s="40">
        <v>2129843</v>
      </c>
    </row>
    <row r="459" spans="1:13" x14ac:dyDescent="0.6">
      <c r="A459" s="41">
        <v>43132</v>
      </c>
      <c r="B459" s="40">
        <v>2.7732999999999999</v>
      </c>
      <c r="C459" s="40">
        <v>1.84</v>
      </c>
      <c r="D459" s="40">
        <v>2718.7</v>
      </c>
      <c r="E459" s="40">
        <v>10289.700000000001</v>
      </c>
      <c r="F459" s="40">
        <v>25.6</v>
      </c>
      <c r="G459" s="40">
        <v>31292930</v>
      </c>
      <c r="H459" s="40">
        <v>0.8548</v>
      </c>
      <c r="I459" s="40">
        <v>-0.33</v>
      </c>
      <c r="J459" s="40">
        <v>3093.55</v>
      </c>
      <c r="K459" s="40">
        <v>16352.95</v>
      </c>
      <c r="L459" s="40">
        <v>18.899999999999999</v>
      </c>
      <c r="M459" s="40">
        <v>2196738</v>
      </c>
    </row>
    <row r="460" spans="1:13" x14ac:dyDescent="0.6">
      <c r="A460" s="41">
        <v>43160</v>
      </c>
      <c r="B460" s="40">
        <v>2.8033999999999999</v>
      </c>
      <c r="C460" s="40">
        <v>2.11</v>
      </c>
      <c r="D460" s="40">
        <v>2577.67</v>
      </c>
      <c r="E460" s="40">
        <v>9770.6200000000008</v>
      </c>
      <c r="F460" s="40">
        <v>24.3</v>
      </c>
      <c r="G460" s="40">
        <v>29642820</v>
      </c>
      <c r="H460" s="40">
        <v>0.79559999999999997</v>
      </c>
      <c r="I460" s="40">
        <v>-0.33</v>
      </c>
      <c r="J460" s="40">
        <v>2991</v>
      </c>
      <c r="K460" s="40">
        <v>15844.2</v>
      </c>
      <c r="L460" s="40">
        <v>16.7</v>
      </c>
      <c r="M460" s="40">
        <v>2123585</v>
      </c>
    </row>
    <row r="461" spans="1:13" x14ac:dyDescent="0.6">
      <c r="A461" s="41">
        <v>43191</v>
      </c>
      <c r="B461" s="40">
        <v>2.7326000000000001</v>
      </c>
      <c r="C461" s="40">
        <v>2.38</v>
      </c>
      <c r="D461" s="40">
        <v>2493.2199999999998</v>
      </c>
      <c r="E461" s="40">
        <v>9466.51</v>
      </c>
      <c r="F461" s="40">
        <v>23.1</v>
      </c>
      <c r="G461" s="40">
        <v>28616260</v>
      </c>
      <c r="H461" s="40">
        <v>0.72</v>
      </c>
      <c r="I461" s="40">
        <v>-0.33</v>
      </c>
      <c r="J461" s="40">
        <v>2976.82</v>
      </c>
      <c r="K461" s="40">
        <v>15806.75</v>
      </c>
      <c r="L461" s="40">
        <v>16.399999999999999</v>
      </c>
      <c r="M461" s="40">
        <v>2110467</v>
      </c>
    </row>
    <row r="462" spans="1:13" x14ac:dyDescent="0.6">
      <c r="A462" s="41">
        <v>43221</v>
      </c>
      <c r="B462" s="40">
        <v>2.9763999999999999</v>
      </c>
      <c r="C462" s="40">
        <v>2.4300000000000002</v>
      </c>
      <c r="D462" s="40">
        <v>2555.77</v>
      </c>
      <c r="E462" s="40">
        <v>9719.9</v>
      </c>
      <c r="F462" s="40">
        <v>22.9</v>
      </c>
      <c r="G462" s="40">
        <v>29261360</v>
      </c>
      <c r="H462" s="40">
        <v>0.80089999999999995</v>
      </c>
      <c r="I462" s="40">
        <v>-0.33</v>
      </c>
      <c r="J462" s="40">
        <v>3151.54</v>
      </c>
      <c r="K462" s="40">
        <v>16772.36</v>
      </c>
      <c r="L462" s="40">
        <v>18.100000000000001</v>
      </c>
      <c r="M462" s="40">
        <v>2236407</v>
      </c>
    </row>
    <row r="463" spans="1:13" x14ac:dyDescent="0.6">
      <c r="A463" s="41">
        <v>43252</v>
      </c>
      <c r="B463" s="40">
        <v>2.8936999999999999</v>
      </c>
      <c r="C463" s="40">
        <v>2.38</v>
      </c>
      <c r="D463" s="40">
        <v>2630.42</v>
      </c>
      <c r="E463" s="40">
        <v>10021.65</v>
      </c>
      <c r="F463" s="40">
        <v>23.3</v>
      </c>
      <c r="G463" s="40">
        <v>30081380</v>
      </c>
      <c r="H463" s="40">
        <v>0.70579999999999998</v>
      </c>
      <c r="I463" s="40">
        <v>-0.33</v>
      </c>
      <c r="J463" s="40">
        <v>3154.23</v>
      </c>
      <c r="K463" s="40">
        <v>16826.93</v>
      </c>
      <c r="L463" s="40">
        <v>18</v>
      </c>
      <c r="M463" s="40">
        <v>2234847</v>
      </c>
    </row>
    <row r="464" spans="1:13" x14ac:dyDescent="0.6">
      <c r="A464" s="41">
        <v>43282</v>
      </c>
      <c r="B464" s="40">
        <v>2.8664000000000001</v>
      </c>
      <c r="C464" s="40">
        <v>2.39</v>
      </c>
      <c r="D464" s="40">
        <v>2626.66</v>
      </c>
      <c r="E464" s="40">
        <v>10023.450000000001</v>
      </c>
      <c r="F464" s="40">
        <v>23.3</v>
      </c>
      <c r="G464" s="40">
        <v>29986590</v>
      </c>
      <c r="H464" s="40">
        <v>0.63590000000000002</v>
      </c>
      <c r="I464" s="40">
        <v>-0.33</v>
      </c>
      <c r="J464" s="40">
        <v>3043.74</v>
      </c>
      <c r="K464" s="40">
        <v>16273.88</v>
      </c>
      <c r="L464" s="40">
        <v>17.3</v>
      </c>
      <c r="M464" s="40">
        <v>2158669</v>
      </c>
    </row>
    <row r="465" spans="1:13" x14ac:dyDescent="0.6">
      <c r="A465" s="41">
        <v>43313</v>
      </c>
      <c r="B465" s="40">
        <v>3.0017999999999998</v>
      </c>
      <c r="C465" s="40">
        <v>2.38</v>
      </c>
      <c r="D465" s="40">
        <v>2703.4</v>
      </c>
      <c r="E465" s="40">
        <v>10333.64</v>
      </c>
      <c r="F465" s="40">
        <v>23.2</v>
      </c>
      <c r="G465" s="40">
        <v>30875920</v>
      </c>
      <c r="H465" s="40">
        <v>0.72770000000000001</v>
      </c>
      <c r="I465" s="40">
        <v>-0.33</v>
      </c>
      <c r="J465" s="40">
        <v>3148.71</v>
      </c>
      <c r="K465" s="40">
        <v>16874.689999999999</v>
      </c>
      <c r="L465" s="40">
        <v>17.399999999999999</v>
      </c>
      <c r="M465" s="40">
        <v>2234998</v>
      </c>
    </row>
    <row r="466" spans="1:13" x14ac:dyDescent="0.6">
      <c r="A466" s="41">
        <v>43344</v>
      </c>
      <c r="B466" s="40">
        <v>2.8519000000000001</v>
      </c>
      <c r="C466" s="40">
        <v>2.39</v>
      </c>
      <c r="D466" s="40">
        <v>2789.14</v>
      </c>
      <c r="E466" s="40">
        <v>10679.86</v>
      </c>
      <c r="F466" s="40">
        <v>23.5</v>
      </c>
      <c r="G466" s="40">
        <v>31752770</v>
      </c>
      <c r="H466" s="40">
        <v>0.63660000000000005</v>
      </c>
      <c r="I466" s="40">
        <v>-0.33</v>
      </c>
      <c r="J466" s="40">
        <v>3137.9</v>
      </c>
      <c r="K466" s="40">
        <v>16857.990000000002</v>
      </c>
      <c r="L466" s="40">
        <v>17.3</v>
      </c>
      <c r="M466" s="40">
        <v>2227599</v>
      </c>
    </row>
    <row r="467" spans="1:13" x14ac:dyDescent="0.6">
      <c r="A467" s="41">
        <v>43374</v>
      </c>
      <c r="B467" s="40">
        <v>3.0788000000000002</v>
      </c>
      <c r="C467" s="40">
        <v>2.4500000000000002</v>
      </c>
      <c r="D467" s="40">
        <v>2798.26</v>
      </c>
      <c r="E467" s="40">
        <v>10730.82</v>
      </c>
      <c r="F467" s="40">
        <v>23.3</v>
      </c>
      <c r="G467" s="40">
        <v>31807540</v>
      </c>
      <c r="H467" s="40">
        <v>0.76</v>
      </c>
      <c r="I467" s="40">
        <v>-0.33</v>
      </c>
      <c r="J467" s="40">
        <v>3171.92</v>
      </c>
      <c r="K467" s="40">
        <v>17077.43</v>
      </c>
      <c r="L467" s="40">
        <v>17.899999999999999</v>
      </c>
      <c r="M467" s="40">
        <v>2248462</v>
      </c>
    </row>
    <row r="468" spans="1:13" x14ac:dyDescent="0.6">
      <c r="A468" s="41">
        <v>43405</v>
      </c>
      <c r="B468" s="40">
        <v>3.1427</v>
      </c>
      <c r="C468" s="40">
        <v>2.61</v>
      </c>
      <c r="D468" s="40">
        <v>2630.24</v>
      </c>
      <c r="E468" s="40">
        <v>10104.73</v>
      </c>
      <c r="F468" s="40">
        <v>21.2</v>
      </c>
      <c r="G468" s="40">
        <v>29920880</v>
      </c>
      <c r="H468" s="40">
        <v>0.75839999999999996</v>
      </c>
      <c r="I468" s="40">
        <v>-0.33</v>
      </c>
      <c r="J468" s="40">
        <v>2932.16</v>
      </c>
      <c r="K468" s="40">
        <v>15827.63</v>
      </c>
      <c r="L468" s="40">
        <v>16.5</v>
      </c>
      <c r="M468" s="40">
        <v>2098081</v>
      </c>
    </row>
    <row r="469" spans="1:13" x14ac:dyDescent="0.6">
      <c r="A469" s="41">
        <v>43435</v>
      </c>
      <c r="B469" s="40">
        <v>2.9672999999999998</v>
      </c>
      <c r="C469" s="40">
        <v>2.77</v>
      </c>
      <c r="D469" s="40">
        <v>2677.08</v>
      </c>
      <c r="E469" s="40">
        <v>10302.89</v>
      </c>
      <c r="F469" s="40">
        <v>20.9</v>
      </c>
      <c r="G469" s="40">
        <v>30351260</v>
      </c>
      <c r="H469" s="40">
        <v>0.69059999999999999</v>
      </c>
      <c r="I469" s="40">
        <v>-0.33</v>
      </c>
      <c r="J469" s="40">
        <v>2902.94</v>
      </c>
      <c r="K469" s="40">
        <v>15709.75</v>
      </c>
      <c r="L469" s="40">
        <v>16.399999999999999</v>
      </c>
      <c r="M469" s="40">
        <v>2076990</v>
      </c>
    </row>
    <row r="470" spans="1:13" x14ac:dyDescent="0.6">
      <c r="A470" s="41">
        <v>43466</v>
      </c>
      <c r="B470" s="40">
        <v>2.6922000000000001</v>
      </c>
      <c r="C470" s="40">
        <v>2.87</v>
      </c>
      <c r="D470" s="40">
        <v>2402.5300000000002</v>
      </c>
      <c r="E470" s="40">
        <v>9263.06</v>
      </c>
      <c r="F470" s="40">
        <v>18.8</v>
      </c>
      <c r="G470" s="40">
        <v>27159980</v>
      </c>
      <c r="H470" s="40">
        <v>0.7097</v>
      </c>
      <c r="I470" s="40">
        <v>-0.33</v>
      </c>
      <c r="J470" s="40">
        <v>2719.73</v>
      </c>
      <c r="K470" s="40">
        <v>14756.15</v>
      </c>
      <c r="L470" s="40">
        <v>15.4</v>
      </c>
      <c r="M470" s="40">
        <v>1951211</v>
      </c>
    </row>
    <row r="471" spans="1:13" x14ac:dyDescent="0.6">
      <c r="A471" s="41">
        <v>43497</v>
      </c>
      <c r="B471" s="40">
        <v>2.6920999999999999</v>
      </c>
      <c r="C471" s="40">
        <v>2.74</v>
      </c>
      <c r="D471" s="40">
        <v>2606.37</v>
      </c>
      <c r="E471" s="40">
        <v>10071.219999999999</v>
      </c>
      <c r="F471" s="40">
        <v>20</v>
      </c>
      <c r="G471" s="40">
        <v>29920580</v>
      </c>
      <c r="H471" s="40">
        <v>0.56489999999999996</v>
      </c>
      <c r="I471" s="40">
        <v>-0.32</v>
      </c>
      <c r="J471" s="40">
        <v>2891.55</v>
      </c>
      <c r="K471" s="40">
        <v>15731.86</v>
      </c>
      <c r="L471" s="40">
        <v>16.399999999999999</v>
      </c>
      <c r="M471" s="40">
        <v>2078541</v>
      </c>
    </row>
    <row r="472" spans="1:13" x14ac:dyDescent="0.6">
      <c r="A472" s="41">
        <v>43525</v>
      </c>
      <c r="B472" s="40">
        <v>2.7561</v>
      </c>
      <c r="C472" s="40">
        <v>2.62</v>
      </c>
      <c r="D472" s="40">
        <v>2699.25</v>
      </c>
      <c r="E472" s="40">
        <v>10449.17</v>
      </c>
      <c r="F472" s="40">
        <v>20.8</v>
      </c>
      <c r="G472" s="40">
        <v>30925310</v>
      </c>
      <c r="H472" s="40">
        <v>0.58550000000000002</v>
      </c>
      <c r="I472" s="40">
        <v>-0.32</v>
      </c>
      <c r="J472" s="40">
        <v>3042.56</v>
      </c>
      <c r="K472" s="40">
        <v>16591.52</v>
      </c>
      <c r="L472" s="40">
        <v>18.2</v>
      </c>
      <c r="M472" s="40">
        <v>2186763</v>
      </c>
    </row>
    <row r="473" spans="1:13" x14ac:dyDescent="0.6">
      <c r="A473" s="41">
        <v>43556</v>
      </c>
      <c r="B473" s="40">
        <v>2.4982000000000002</v>
      </c>
      <c r="C473" s="40">
        <v>2.6</v>
      </c>
      <c r="D473" s="40">
        <v>2755.8</v>
      </c>
      <c r="E473" s="40">
        <v>10687.27</v>
      </c>
      <c r="F473" s="40">
        <v>21.6</v>
      </c>
      <c r="G473" s="40">
        <v>31479650</v>
      </c>
      <c r="H473" s="40">
        <v>0.31180000000000002</v>
      </c>
      <c r="I473" s="40">
        <v>-0.33</v>
      </c>
      <c r="J473" s="40">
        <v>3120</v>
      </c>
      <c r="K473" s="40">
        <v>17053.95</v>
      </c>
      <c r="L473" s="40">
        <v>18.8</v>
      </c>
      <c r="M473" s="40">
        <v>2243604</v>
      </c>
    </row>
    <row r="474" spans="1:13" x14ac:dyDescent="0.6">
      <c r="A474" s="41">
        <v>43586</v>
      </c>
      <c r="B474" s="40">
        <v>2.5024000000000002</v>
      </c>
      <c r="C474" s="40">
        <v>2.59</v>
      </c>
      <c r="D474" s="40">
        <v>2804.47</v>
      </c>
      <c r="E474" s="40">
        <v>10901.77</v>
      </c>
      <c r="F474" s="40">
        <v>22</v>
      </c>
      <c r="G474" s="40">
        <v>32096610</v>
      </c>
      <c r="H474" s="40">
        <v>0.37380000000000002</v>
      </c>
      <c r="I474" s="40">
        <v>-0.33</v>
      </c>
      <c r="J474" s="40">
        <v>3225.03</v>
      </c>
      <c r="K474" s="40">
        <v>17670.27</v>
      </c>
      <c r="L474" s="40">
        <v>19.600000000000001</v>
      </c>
      <c r="M474" s="40">
        <v>2321157</v>
      </c>
    </row>
    <row r="475" spans="1:13" x14ac:dyDescent="0.6">
      <c r="A475" s="41">
        <v>43617</v>
      </c>
      <c r="B475" s="40">
        <v>2.0804999999999998</v>
      </c>
      <c r="C475" s="40">
        <v>2.4900000000000002</v>
      </c>
      <c r="D475" s="40">
        <v>2646.5</v>
      </c>
      <c r="E475" s="40">
        <v>10306.629999999999</v>
      </c>
      <c r="F475" s="40">
        <v>20.6</v>
      </c>
      <c r="G475" s="40">
        <v>30245090</v>
      </c>
      <c r="H475" s="40">
        <v>0.20080000000000001</v>
      </c>
      <c r="I475" s="40">
        <v>-0.33</v>
      </c>
      <c r="J475" s="40">
        <v>3042.15</v>
      </c>
      <c r="K475" s="40">
        <v>16711.95</v>
      </c>
      <c r="L475" s="40">
        <v>18.7</v>
      </c>
      <c r="M475" s="40">
        <v>2185312</v>
      </c>
    </row>
    <row r="476" spans="1:13" x14ac:dyDescent="0.6">
      <c r="A476" s="41">
        <v>43647</v>
      </c>
      <c r="B476" s="40">
        <v>2.0318999999999998</v>
      </c>
      <c r="C476" s="40">
        <v>2.3199999999999998</v>
      </c>
      <c r="D476" s="40">
        <v>2845.6</v>
      </c>
      <c r="E476" s="40">
        <v>11105.32</v>
      </c>
      <c r="F476" s="40">
        <v>22.3</v>
      </c>
      <c r="G476" s="40">
        <v>32624780</v>
      </c>
      <c r="H476" s="40">
        <v>-5.04E-2</v>
      </c>
      <c r="I476" s="40">
        <v>-0.375</v>
      </c>
      <c r="J476" s="40">
        <v>3207.61</v>
      </c>
      <c r="K476" s="40">
        <v>17660.669999999998</v>
      </c>
      <c r="L476" s="40">
        <v>19.600000000000001</v>
      </c>
      <c r="M476" s="40">
        <v>2305055</v>
      </c>
    </row>
    <row r="477" spans="1:13" x14ac:dyDescent="0.6">
      <c r="A477" s="41">
        <v>43678</v>
      </c>
      <c r="B477" s="40">
        <v>1.8912</v>
      </c>
      <c r="C477" s="40">
        <v>2.27</v>
      </c>
      <c r="D477" s="40">
        <v>2842.6</v>
      </c>
      <c r="E477" s="40">
        <v>11116.5</v>
      </c>
      <c r="F477" s="40">
        <v>22.2</v>
      </c>
      <c r="G477" s="40">
        <v>32578140</v>
      </c>
      <c r="H477" s="40">
        <v>-0.1983</v>
      </c>
      <c r="I477" s="40">
        <v>-0.42</v>
      </c>
      <c r="J477" s="40">
        <v>3213.6</v>
      </c>
      <c r="K477" s="40">
        <v>17738.580000000002</v>
      </c>
      <c r="L477" s="40">
        <v>20</v>
      </c>
      <c r="M477" s="40">
        <v>2309334</v>
      </c>
    </row>
    <row r="478" spans="1:13" x14ac:dyDescent="0.6">
      <c r="A478" s="41">
        <v>43709</v>
      </c>
      <c r="B478" s="40">
        <v>1.5056</v>
      </c>
      <c r="C478" s="40">
        <v>2.13</v>
      </c>
      <c r="D478" s="40">
        <v>2813.64</v>
      </c>
      <c r="E478" s="40">
        <v>11023.7</v>
      </c>
      <c r="F478" s="40">
        <v>21.6</v>
      </c>
      <c r="G478" s="40">
        <v>32217570</v>
      </c>
      <c r="H478" s="40">
        <v>-0.39069999999999999</v>
      </c>
      <c r="I478" s="40">
        <v>-0.5</v>
      </c>
      <c r="J478" s="40">
        <v>3166.77</v>
      </c>
      <c r="K478" s="40">
        <v>17524.490000000002</v>
      </c>
      <c r="L478" s="40">
        <v>19.8</v>
      </c>
      <c r="M478" s="40">
        <v>2276095</v>
      </c>
    </row>
    <row r="479" spans="1:13" x14ac:dyDescent="0.6">
      <c r="A479" s="41">
        <v>43739</v>
      </c>
      <c r="B479" s="40">
        <v>1.6433</v>
      </c>
      <c r="C479" s="40">
        <v>2.09</v>
      </c>
      <c r="D479" s="40">
        <v>2818.26</v>
      </c>
      <c r="E479" s="40">
        <v>11055.18</v>
      </c>
      <c r="F479" s="40">
        <v>21.6</v>
      </c>
      <c r="G479" s="40">
        <v>32231730</v>
      </c>
      <c r="H479" s="40">
        <v>-0.26840000000000003</v>
      </c>
      <c r="I479" s="40">
        <v>-0.44</v>
      </c>
      <c r="J479" s="40">
        <v>3196.11</v>
      </c>
      <c r="K479" s="40">
        <v>17728.04</v>
      </c>
      <c r="L479" s="40">
        <v>19.600000000000001</v>
      </c>
      <c r="M479" s="40">
        <v>2297927</v>
      </c>
    </row>
    <row r="480" spans="1:13" x14ac:dyDescent="0.6">
      <c r="A480" s="41">
        <v>43770</v>
      </c>
      <c r="B480" s="40">
        <v>1.7273000000000001</v>
      </c>
      <c r="C480" s="40">
        <v>1.9</v>
      </c>
      <c r="D480" s="40">
        <v>2932.1</v>
      </c>
      <c r="E480" s="40">
        <v>11520.13</v>
      </c>
      <c r="F480" s="40">
        <v>22.6</v>
      </c>
      <c r="G480" s="40">
        <v>33437090</v>
      </c>
      <c r="H480" s="40">
        <v>-0.1149</v>
      </c>
      <c r="I480" s="40">
        <v>-0.4</v>
      </c>
      <c r="J480" s="40">
        <v>3296.51</v>
      </c>
      <c r="K480" s="40">
        <v>18331.740000000002</v>
      </c>
      <c r="L480" s="40">
        <v>20.6</v>
      </c>
      <c r="M480" s="40">
        <v>2370568</v>
      </c>
    </row>
    <row r="481" spans="1:13" x14ac:dyDescent="0.6">
      <c r="A481" s="41">
        <v>43800</v>
      </c>
      <c r="B481" s="40">
        <v>1.8365</v>
      </c>
      <c r="C481" s="40">
        <v>1.91</v>
      </c>
      <c r="D481" s="40">
        <v>2972.87</v>
      </c>
      <c r="E481" s="40">
        <v>11698.32</v>
      </c>
      <c r="F481" s="40">
        <v>23.1</v>
      </c>
      <c r="G481" s="40">
        <v>31067360</v>
      </c>
      <c r="H481" s="40">
        <v>-8.6E-3</v>
      </c>
      <c r="I481" s="40">
        <v>-0.42499999999999999</v>
      </c>
      <c r="J481" s="40">
        <v>3315.46</v>
      </c>
      <c r="K481" s="40">
        <v>18478.03</v>
      </c>
      <c r="L481" s="40">
        <v>21.4</v>
      </c>
      <c r="M481" s="40">
        <v>2384384</v>
      </c>
    </row>
    <row r="482" spans="1:13" x14ac:dyDescent="0.6">
      <c r="A482" s="41">
        <v>43831</v>
      </c>
      <c r="B482" s="40">
        <v>1.9106000000000001</v>
      </c>
      <c r="C482" s="40">
        <v>1.92</v>
      </c>
      <c r="D482" s="40">
        <v>3078.59</v>
      </c>
      <c r="E482" s="40">
        <v>12133.26</v>
      </c>
      <c r="F482" s="40">
        <v>23.9</v>
      </c>
      <c r="G482" s="40">
        <v>32184700</v>
      </c>
      <c r="H482" s="40">
        <v>8.3799999999999999E-2</v>
      </c>
      <c r="I482" s="40">
        <v>-0.42</v>
      </c>
      <c r="J482" s="40">
        <v>3410.02</v>
      </c>
      <c r="K482" s="40">
        <v>19048.63</v>
      </c>
      <c r="L482" s="40">
        <v>22</v>
      </c>
      <c r="M482" s="40">
        <v>2449121</v>
      </c>
    </row>
    <row r="483" spans="1:13" x14ac:dyDescent="0.6">
      <c r="A483" s="41">
        <v>43862</v>
      </c>
      <c r="B483" s="40">
        <v>1.5205</v>
      </c>
      <c r="C483" s="40">
        <v>1.73</v>
      </c>
      <c r="D483" s="40">
        <v>3106.35</v>
      </c>
      <c r="E483" s="40">
        <v>12262.18</v>
      </c>
      <c r="F483" s="40">
        <v>23.8</v>
      </c>
      <c r="G483" s="40">
        <v>32393280</v>
      </c>
      <c r="H483" s="40">
        <v>-0.21110000000000001</v>
      </c>
      <c r="I483" s="40">
        <v>-0.42</v>
      </c>
      <c r="J483" s="40">
        <v>3358.8</v>
      </c>
      <c r="K483" s="40">
        <v>18806.900000000001</v>
      </c>
      <c r="L483" s="40">
        <v>21.5</v>
      </c>
      <c r="M483" s="40">
        <v>2413268</v>
      </c>
    </row>
    <row r="484" spans="1:13" x14ac:dyDescent="0.6">
      <c r="A484" s="41">
        <v>43891</v>
      </c>
      <c r="B484" s="40">
        <v>1.0883</v>
      </c>
      <c r="C484" s="40">
        <v>1.27</v>
      </c>
      <c r="D484" s="40">
        <v>2951.65</v>
      </c>
      <c r="E484" s="40">
        <v>11667.82</v>
      </c>
      <c r="F484" s="40">
        <v>22.5</v>
      </c>
      <c r="G484" s="40">
        <v>30785140</v>
      </c>
      <c r="H484" s="40">
        <v>-0.33129999999999998</v>
      </c>
      <c r="I484" s="40">
        <v>-0.47</v>
      </c>
      <c r="J484" s="40">
        <v>3095.01</v>
      </c>
      <c r="K484" s="40">
        <v>17366.04</v>
      </c>
      <c r="L484" s="40">
        <v>18.899999999999999</v>
      </c>
      <c r="M484" s="40">
        <v>2222661</v>
      </c>
    </row>
    <row r="485" spans="1:13" x14ac:dyDescent="0.6">
      <c r="A485" s="41">
        <v>43922</v>
      </c>
      <c r="B485" s="40">
        <v>0.60199999999999998</v>
      </c>
      <c r="C485" s="40">
        <v>1.37</v>
      </c>
      <c r="D485" s="40">
        <v>2336.3200000000002</v>
      </c>
      <c r="E485" s="40">
        <v>9253.3799999999992</v>
      </c>
      <c r="F485" s="40">
        <v>17.8</v>
      </c>
      <c r="G485" s="40">
        <v>24256140</v>
      </c>
      <c r="H485" s="40">
        <v>-3.2899999999999999E-2</v>
      </c>
      <c r="I485" s="40">
        <v>-0.17</v>
      </c>
      <c r="J485" s="40">
        <v>2457.29</v>
      </c>
      <c r="K485" s="40">
        <v>13827.91</v>
      </c>
      <c r="L485" s="40">
        <v>15</v>
      </c>
      <c r="M485" s="40">
        <v>1764872</v>
      </c>
    </row>
    <row r="486" spans="1:13" x14ac:dyDescent="0.6">
      <c r="A486" s="41">
        <v>43952</v>
      </c>
      <c r="B486" s="40">
        <v>0.64019999999999999</v>
      </c>
      <c r="C486" s="40">
        <v>0.39</v>
      </c>
      <c r="D486" s="40">
        <v>2687.97</v>
      </c>
      <c r="E486" s="40">
        <v>10665.04</v>
      </c>
      <c r="F486" s="40">
        <v>21.2</v>
      </c>
      <c r="G486" s="40">
        <v>27896320</v>
      </c>
      <c r="H486" s="40">
        <v>-8.09E-2</v>
      </c>
      <c r="I486" s="40">
        <v>-0.32</v>
      </c>
      <c r="J486" s="40">
        <v>2684.72</v>
      </c>
      <c r="K486" s="40">
        <v>15139.51</v>
      </c>
      <c r="L486" s="40">
        <v>16.2</v>
      </c>
      <c r="M486" s="40">
        <v>1924805</v>
      </c>
    </row>
    <row r="487" spans="1:13" x14ac:dyDescent="0.6">
      <c r="A487" s="41">
        <v>43983</v>
      </c>
      <c r="B487" s="40">
        <v>0.66700000000000004</v>
      </c>
      <c r="C487" s="40">
        <v>0.24</v>
      </c>
      <c r="D487" s="40">
        <v>2925.11</v>
      </c>
      <c r="E487" s="40">
        <v>11623.88</v>
      </c>
      <c r="F487" s="40">
        <v>24.2</v>
      </c>
      <c r="G487" s="40">
        <v>30383540</v>
      </c>
      <c r="H487" s="40">
        <v>-1.34E-2</v>
      </c>
      <c r="I487" s="40">
        <v>-0.35</v>
      </c>
      <c r="J487" s="40">
        <v>2814.32</v>
      </c>
      <c r="K487" s="40">
        <v>15898.41</v>
      </c>
      <c r="L487" s="40">
        <v>17.7</v>
      </c>
      <c r="M487" s="40">
        <v>2018545</v>
      </c>
    </row>
    <row r="488" spans="1:13" x14ac:dyDescent="0.6">
      <c r="A488" s="41">
        <v>44013</v>
      </c>
      <c r="B488" s="40">
        <v>0.68220000000000003</v>
      </c>
      <c r="C488" s="40">
        <v>0.22500000000000001</v>
      </c>
      <c r="D488" s="40">
        <v>2987.52</v>
      </c>
      <c r="E488" s="40">
        <v>11889.81</v>
      </c>
      <c r="F488" s="40">
        <v>24.8</v>
      </c>
      <c r="G488" s="40">
        <v>31058020</v>
      </c>
      <c r="H488" s="40">
        <v>-0.1033</v>
      </c>
      <c r="I488" s="40">
        <v>-0.48</v>
      </c>
      <c r="J488" s="40">
        <v>2891.66</v>
      </c>
      <c r="K488" s="40">
        <v>16361.95</v>
      </c>
      <c r="L488" s="40">
        <v>18.2</v>
      </c>
      <c r="M488" s="40">
        <v>2075025</v>
      </c>
    </row>
    <row r="489" spans="1:13" x14ac:dyDescent="0.6">
      <c r="A489" s="41">
        <v>44044</v>
      </c>
      <c r="B489" s="40">
        <v>0.56240000000000001</v>
      </c>
      <c r="C489" s="40">
        <v>0.19500000000000001</v>
      </c>
      <c r="D489" s="40">
        <v>3167.57</v>
      </c>
      <c r="E489" s="40">
        <v>12625.14</v>
      </c>
      <c r="F489" s="40">
        <v>28.3</v>
      </c>
      <c r="G489" s="40">
        <v>33347440</v>
      </c>
      <c r="H489" s="40">
        <v>-0.24859999999999999</v>
      </c>
      <c r="I489" s="40">
        <v>-0.49</v>
      </c>
      <c r="J489" s="40">
        <v>2861.71</v>
      </c>
      <c r="K489" s="40">
        <v>16219.81</v>
      </c>
      <c r="L489" s="40">
        <v>23.1</v>
      </c>
      <c r="M489" s="40">
        <v>2065367</v>
      </c>
    </row>
    <row r="490" spans="1:13" x14ac:dyDescent="0.6">
      <c r="A490" s="41">
        <v>44075</v>
      </c>
      <c r="B490" s="40">
        <v>0.67030000000000001</v>
      </c>
      <c r="C490" s="40">
        <v>0.2</v>
      </c>
      <c r="D490" s="40">
        <v>3397.4</v>
      </c>
      <c r="E490" s="40">
        <v>13558.37</v>
      </c>
      <c r="F490" s="40">
        <v>31.8</v>
      </c>
      <c r="G490" s="40">
        <v>35788350</v>
      </c>
      <c r="H490" s="40">
        <v>-0.16420000000000001</v>
      </c>
      <c r="I490" s="40">
        <v>-0.44</v>
      </c>
      <c r="J490" s="40">
        <v>2916.45</v>
      </c>
      <c r="K490" s="40">
        <v>16555.11</v>
      </c>
      <c r="L490" s="40">
        <v>24.7</v>
      </c>
      <c r="M490" s="40">
        <v>2104912</v>
      </c>
    </row>
    <row r="491" spans="1:13" x14ac:dyDescent="0.6">
      <c r="A491" s="41">
        <v>44105</v>
      </c>
      <c r="B491" s="40">
        <v>0.67720000000000002</v>
      </c>
      <c r="C491" s="40">
        <v>0.18</v>
      </c>
      <c r="D491" s="40">
        <v>3267.69</v>
      </c>
      <c r="E491" s="40">
        <v>13058.31</v>
      </c>
      <c r="F491" s="40">
        <v>30.5</v>
      </c>
      <c r="G491" s="40">
        <v>34437300</v>
      </c>
      <c r="H491" s="40">
        <v>-0.31390000000000001</v>
      </c>
      <c r="I491" s="40">
        <v>-0.45500000000000002</v>
      </c>
      <c r="J491" s="40">
        <v>2879.09</v>
      </c>
      <c r="K491" s="40">
        <v>16369.07</v>
      </c>
      <c r="L491" s="40">
        <v>25</v>
      </c>
      <c r="M491" s="40">
        <v>2078458</v>
      </c>
    </row>
    <row r="492" spans="1:13" x14ac:dyDescent="0.6">
      <c r="A492" s="41">
        <v>44136</v>
      </c>
      <c r="B492" s="40">
        <v>0.84830000000000005</v>
      </c>
      <c r="C492" s="40">
        <v>0.18</v>
      </c>
      <c r="D492" s="40">
        <v>3199.18</v>
      </c>
      <c r="E492" s="40">
        <v>12801.37</v>
      </c>
      <c r="F492" s="40">
        <v>29.9</v>
      </c>
      <c r="G492" s="40">
        <v>33951150</v>
      </c>
      <c r="H492" s="40">
        <v>-0.40350000000000003</v>
      </c>
      <c r="I492" s="40">
        <v>-0.5</v>
      </c>
      <c r="J492" s="40">
        <v>2818.1</v>
      </c>
      <c r="K492" s="40">
        <v>16048</v>
      </c>
      <c r="L492" s="40">
        <v>24.3</v>
      </c>
      <c r="M492" s="40">
        <v>2042462</v>
      </c>
    </row>
    <row r="493" spans="1:13" x14ac:dyDescent="0.6">
      <c r="A493" s="41">
        <v>44166</v>
      </c>
      <c r="B493" s="40">
        <v>0.93469999999999998</v>
      </c>
      <c r="C493" s="40">
        <v>0.18</v>
      </c>
      <c r="D493" s="40">
        <v>3570.49</v>
      </c>
      <c r="E493" s="40">
        <v>14304.2</v>
      </c>
      <c r="F493" s="40">
        <v>33.200000000000003</v>
      </c>
      <c r="G493" s="40">
        <v>37922670</v>
      </c>
      <c r="H493" s="40">
        <v>-0.33450000000000002</v>
      </c>
      <c r="I493" s="40">
        <v>-0.5</v>
      </c>
      <c r="J493" s="40">
        <v>3304.54</v>
      </c>
      <c r="K493" s="40">
        <v>18844.2</v>
      </c>
      <c r="L493" s="40">
        <v>28.7</v>
      </c>
      <c r="M493" s="40">
        <v>2389174</v>
      </c>
    </row>
    <row r="494" spans="1:13" x14ac:dyDescent="0.6">
      <c r="A494" s="41">
        <v>44197</v>
      </c>
      <c r="B494" s="40">
        <v>0.91180000000000005</v>
      </c>
      <c r="C494" s="40">
        <v>0.19</v>
      </c>
      <c r="D494" s="40">
        <v>3681.36</v>
      </c>
      <c r="E494" s="40">
        <v>14766.96</v>
      </c>
      <c r="F494" s="40">
        <v>34.1</v>
      </c>
      <c r="G494" s="40">
        <v>39058850</v>
      </c>
      <c r="H494" s="40">
        <v>-0.40300000000000002</v>
      </c>
      <c r="I494" s="40">
        <v>-0.49</v>
      </c>
      <c r="J494" s="40">
        <v>3315.35</v>
      </c>
      <c r="K494" s="40">
        <v>18933.68</v>
      </c>
      <c r="L494" s="40">
        <v>29</v>
      </c>
      <c r="M494" s="40">
        <v>2396800</v>
      </c>
    </row>
    <row r="495" spans="1:13" x14ac:dyDescent="0.6">
      <c r="A495" s="41">
        <v>44228</v>
      </c>
      <c r="B495" s="40">
        <v>1.0777000000000001</v>
      </c>
      <c r="C495" s="40">
        <v>0.19</v>
      </c>
      <c r="D495" s="40">
        <v>3718.37</v>
      </c>
      <c r="E495" s="40">
        <v>14932.05</v>
      </c>
      <c r="F495" s="40">
        <v>33.9</v>
      </c>
      <c r="G495" s="40">
        <v>39521220</v>
      </c>
      <c r="H495" s="40">
        <v>-0.3347</v>
      </c>
      <c r="I495" s="40">
        <v>-0.5</v>
      </c>
      <c r="J495" s="40">
        <v>3266.23</v>
      </c>
      <c r="K495" s="40">
        <v>18679.169999999998</v>
      </c>
      <c r="L495" s="40">
        <v>28.4</v>
      </c>
      <c r="M495" s="40">
        <v>2360523</v>
      </c>
    </row>
    <row r="496" spans="1:13" x14ac:dyDescent="0.6">
      <c r="A496" s="41">
        <v>44256</v>
      </c>
      <c r="B496" s="40">
        <v>1.4467000000000001</v>
      </c>
      <c r="C496" s="40">
        <v>0.19</v>
      </c>
      <c r="D496" s="40">
        <v>3839.98</v>
      </c>
      <c r="E496" s="40">
        <v>15436.54</v>
      </c>
      <c r="F496" s="40">
        <v>34.799999999999997</v>
      </c>
      <c r="G496" s="40">
        <v>40962110</v>
      </c>
      <c r="H496" s="40">
        <v>-0.16669999999999999</v>
      </c>
      <c r="I496" s="40">
        <v>-0.5</v>
      </c>
      <c r="J496" s="40">
        <v>3443.29</v>
      </c>
      <c r="K496" s="40">
        <v>19720.419999999998</v>
      </c>
      <c r="L496" s="40">
        <v>30.6</v>
      </c>
      <c r="M496" s="40">
        <v>2494485</v>
      </c>
    </row>
    <row r="497" spans="1:13" x14ac:dyDescent="0.6">
      <c r="A497" s="41">
        <v>44287</v>
      </c>
      <c r="B497" s="40">
        <v>1.6789000000000001</v>
      </c>
      <c r="C497" s="40">
        <v>0.19</v>
      </c>
      <c r="D497" s="40">
        <v>3911.29</v>
      </c>
      <c r="E497" s="40">
        <v>15742.36</v>
      </c>
      <c r="F497" s="40">
        <v>35.4</v>
      </c>
      <c r="G497" s="40">
        <v>41751740</v>
      </c>
      <c r="H497" s="40">
        <v>-0.15679999999999999</v>
      </c>
      <c r="I497" s="40">
        <v>-0.5</v>
      </c>
      <c r="J497" s="40">
        <v>3611.64</v>
      </c>
      <c r="K497" s="40">
        <v>20723.78</v>
      </c>
      <c r="L497" s="40">
        <v>33.200000000000003</v>
      </c>
      <c r="M497" s="40">
        <v>2617850</v>
      </c>
    </row>
    <row r="498" spans="1:13" x14ac:dyDescent="0.6">
      <c r="A498" s="41">
        <v>44317</v>
      </c>
      <c r="B498" s="40">
        <v>1.6069</v>
      </c>
      <c r="C498" s="40">
        <v>0.17</v>
      </c>
      <c r="D498" s="40">
        <v>4070.92</v>
      </c>
      <c r="E498" s="40">
        <v>16403.060000000001</v>
      </c>
      <c r="F498" s="40">
        <v>33.200000000000003</v>
      </c>
      <c r="G498" s="40">
        <v>43681220</v>
      </c>
      <c r="H498" s="40">
        <v>7.7899999999999997E-2</v>
      </c>
      <c r="I498" s="40">
        <v>-0.5</v>
      </c>
      <c r="J498" s="40">
        <v>3775.09</v>
      </c>
      <c r="K498" s="40">
        <v>21698.78</v>
      </c>
      <c r="L498" s="40">
        <v>34.700000000000003</v>
      </c>
      <c r="M498" s="40">
        <v>2719168</v>
      </c>
    </row>
    <row r="499" spans="1:13" x14ac:dyDescent="0.6">
      <c r="A499" s="41">
        <v>44348</v>
      </c>
      <c r="B499" s="40">
        <v>1.6141000000000001</v>
      </c>
      <c r="C499" s="40">
        <v>0.15</v>
      </c>
      <c r="D499" s="40">
        <v>4075.73</v>
      </c>
      <c r="E499" s="40">
        <v>16440.05</v>
      </c>
      <c r="F499" s="40">
        <v>30.8</v>
      </c>
      <c r="G499" s="40">
        <v>43729470</v>
      </c>
      <c r="H499" s="40">
        <v>0.11409999999999999</v>
      </c>
      <c r="I499" s="40">
        <v>-0.5</v>
      </c>
      <c r="J499" s="40">
        <v>3866.31</v>
      </c>
      <c r="K499" s="40">
        <v>22258.240000000002</v>
      </c>
      <c r="L499" s="40">
        <v>35</v>
      </c>
      <c r="M499" s="40">
        <v>2786686</v>
      </c>
    </row>
    <row r="500" spans="1:13" x14ac:dyDescent="0.6">
      <c r="A500" s="41">
        <v>44378</v>
      </c>
      <c r="B500" s="40">
        <v>1.4793000000000001</v>
      </c>
      <c r="C500" s="40">
        <v>0.17</v>
      </c>
      <c r="D500" s="40">
        <v>4197.21</v>
      </c>
      <c r="E500" s="40">
        <v>16948.810000000001</v>
      </c>
      <c r="F500" s="40">
        <v>31.4</v>
      </c>
      <c r="G500" s="40">
        <v>45066210</v>
      </c>
      <c r="H500" s="40">
        <v>5.9200000000000003E-2</v>
      </c>
      <c r="I500" s="40">
        <v>-0.5</v>
      </c>
      <c r="J500" s="40">
        <v>3915.93</v>
      </c>
      <c r="K500" s="40">
        <v>22580.12</v>
      </c>
      <c r="L500" s="40">
        <v>35.4</v>
      </c>
      <c r="M500" s="40">
        <v>2824386</v>
      </c>
    </row>
    <row r="501" spans="1:13" x14ac:dyDescent="0.6">
      <c r="A501" s="41">
        <v>44409</v>
      </c>
      <c r="B501" s="40">
        <v>1.1719999999999999</v>
      </c>
      <c r="C501" s="40">
        <v>0.17</v>
      </c>
      <c r="D501" s="40">
        <v>4245.28</v>
      </c>
      <c r="E501" s="40">
        <v>17161.52</v>
      </c>
      <c r="F501" s="40">
        <v>28.8</v>
      </c>
      <c r="G501" s="40">
        <v>45680610</v>
      </c>
      <c r="H501" s="40">
        <v>-0.19350000000000001</v>
      </c>
      <c r="I501" s="40">
        <v>-0.5</v>
      </c>
      <c r="J501" s="40">
        <v>4009.87</v>
      </c>
      <c r="K501" s="40">
        <v>23160.13</v>
      </c>
      <c r="L501" s="40">
        <v>25.9</v>
      </c>
      <c r="M501" s="40">
        <v>2883014</v>
      </c>
    </row>
    <row r="502" spans="1:13" x14ac:dyDescent="0.6">
      <c r="A502" s="41">
        <v>44440</v>
      </c>
      <c r="B502" s="40">
        <v>1.3015000000000001</v>
      </c>
      <c r="C502" s="40">
        <v>0.17</v>
      </c>
      <c r="D502" s="40">
        <v>4375.05</v>
      </c>
      <c r="E502" s="40">
        <v>17705.18</v>
      </c>
      <c r="F502" s="40">
        <v>28</v>
      </c>
      <c r="G502" s="40">
        <v>47106990</v>
      </c>
      <c r="H502" s="40">
        <v>-8.6300000000000002E-2</v>
      </c>
      <c r="I502" s="40">
        <v>-0.5</v>
      </c>
      <c r="J502" s="40">
        <v>4044.68</v>
      </c>
      <c r="K502" s="40">
        <v>23399.59</v>
      </c>
      <c r="L502" s="40">
        <v>24.1</v>
      </c>
      <c r="M502" s="40">
        <v>2906520</v>
      </c>
    </row>
    <row r="503" spans="1:13" x14ac:dyDescent="0.6">
      <c r="A503" s="41">
        <v>44470</v>
      </c>
      <c r="B503" s="40">
        <v>1.4662999999999999</v>
      </c>
      <c r="C503" s="40">
        <v>0.17</v>
      </c>
      <c r="D503" s="40">
        <v>4212.38</v>
      </c>
      <c r="E503" s="40">
        <v>17065.45</v>
      </c>
      <c r="F503" s="40">
        <v>26.8</v>
      </c>
      <c r="G503" s="40">
        <v>45378500</v>
      </c>
      <c r="H503" s="40">
        <v>4.5600000000000002E-2</v>
      </c>
      <c r="I503" s="40">
        <v>-0.49</v>
      </c>
      <c r="J503" s="40">
        <v>3879.97</v>
      </c>
      <c r="K503" s="40">
        <v>22484.39</v>
      </c>
      <c r="L503" s="40">
        <v>22.7</v>
      </c>
      <c r="M503" s="40">
        <v>2770471</v>
      </c>
    </row>
    <row r="504" spans="1:13" x14ac:dyDescent="0.6">
      <c r="A504" s="41">
        <v>44501</v>
      </c>
      <c r="B504" s="40">
        <v>1.5729</v>
      </c>
      <c r="C504" s="40">
        <v>0.17</v>
      </c>
      <c r="D504" s="40">
        <v>4468.34</v>
      </c>
      <c r="E504" s="40">
        <v>18121.099999999999</v>
      </c>
      <c r="F504" s="40">
        <v>27.3</v>
      </c>
      <c r="G504" s="40">
        <v>48299460</v>
      </c>
      <c r="H504" s="40">
        <v>0.22189999999999999</v>
      </c>
      <c r="I504" s="40">
        <v>-0.49</v>
      </c>
      <c r="J504" s="40">
        <v>4124.25</v>
      </c>
      <c r="K504" s="40">
        <v>23938.34</v>
      </c>
      <c r="L504" s="40">
        <v>23.3</v>
      </c>
      <c r="M504" s="40">
        <v>2944055</v>
      </c>
    </row>
    <row r="505" spans="1:13" x14ac:dyDescent="0.6">
      <c r="A505" s="41">
        <v>44531</v>
      </c>
      <c r="B505" s="40">
        <v>1.4191</v>
      </c>
      <c r="C505" s="40">
        <v>0.16</v>
      </c>
      <c r="D505" s="40">
        <v>4315.97</v>
      </c>
      <c r="E505" s="40">
        <v>17521.5</v>
      </c>
      <c r="F505" s="40">
        <v>25.8</v>
      </c>
      <c r="G505" s="40">
        <v>46621020</v>
      </c>
      <c r="H505" s="40">
        <v>-2.29E-2</v>
      </c>
      <c r="I505" s="40">
        <v>-0.49</v>
      </c>
      <c r="J505" s="40">
        <v>4137.8599999999997</v>
      </c>
      <c r="K505" s="40">
        <v>24055.75</v>
      </c>
      <c r="L505" s="40">
        <v>23.1</v>
      </c>
      <c r="M505" s="40">
        <v>2954357</v>
      </c>
    </row>
    <row r="506" spans="1:13" x14ac:dyDescent="0.6">
      <c r="A506" s="41">
        <v>44562</v>
      </c>
      <c r="B506" s="40">
        <v>1.6302000000000001</v>
      </c>
      <c r="C506" s="40">
        <v>0.18</v>
      </c>
      <c r="D506" s="40">
        <v>4561.75</v>
      </c>
      <c r="E506" s="40">
        <v>18539.919999999998</v>
      </c>
      <c r="F506" s="40">
        <v>27.2</v>
      </c>
      <c r="G506" s="40">
        <v>49255180</v>
      </c>
      <c r="H506" s="40">
        <v>0.1542</v>
      </c>
      <c r="I506" s="40">
        <v>-0.49</v>
      </c>
      <c r="J506" s="40">
        <v>4280.8599999999997</v>
      </c>
      <c r="K506" s="40">
        <v>24929.16</v>
      </c>
      <c r="L506" s="40">
        <v>23.9</v>
      </c>
      <c r="M506" s="40">
        <v>3055372</v>
      </c>
    </row>
    <row r="507" spans="1:13" x14ac:dyDescent="0.6">
      <c r="A507" s="41">
        <v>44593</v>
      </c>
      <c r="B507" s="40">
        <v>1.8004</v>
      </c>
      <c r="C507" s="40">
        <v>0.3</v>
      </c>
      <c r="D507" s="40">
        <v>4291.93</v>
      </c>
      <c r="E507" s="40">
        <v>17461.740000000002</v>
      </c>
      <c r="F507" s="40">
        <v>24.7</v>
      </c>
      <c r="G507" s="40">
        <v>46692690</v>
      </c>
      <c r="H507" s="40">
        <v>0.32379999999999998</v>
      </c>
      <c r="I507" s="40">
        <v>-0.49</v>
      </c>
      <c r="J507" s="40">
        <v>4135.3</v>
      </c>
      <c r="K507" s="40">
        <v>24119.200000000001</v>
      </c>
      <c r="L507" s="40">
        <v>22.4</v>
      </c>
      <c r="M507" s="40">
        <v>2957573</v>
      </c>
    </row>
    <row r="508" spans="1:13" x14ac:dyDescent="0.6">
      <c r="A508" s="41">
        <v>44621</v>
      </c>
      <c r="B508" s="40">
        <v>1.7112000000000001</v>
      </c>
      <c r="C508" s="40">
        <v>0.56999999999999995</v>
      </c>
      <c r="D508" s="40">
        <v>4077.58</v>
      </c>
      <c r="E508" s="40">
        <v>16607.189999999999</v>
      </c>
      <c r="F508" s="40">
        <v>21.9</v>
      </c>
      <c r="G508" s="40">
        <v>44395680</v>
      </c>
      <c r="H508" s="40">
        <v>0.2671</v>
      </c>
      <c r="I508" s="40">
        <v>-0.5</v>
      </c>
      <c r="J508" s="40">
        <v>3745.23</v>
      </c>
      <c r="K508" s="40">
        <v>21882.23</v>
      </c>
      <c r="L508" s="40">
        <v>18</v>
      </c>
      <c r="M508" s="40">
        <v>2654798</v>
      </c>
    </row>
    <row r="509" spans="1:13" x14ac:dyDescent="0.6">
      <c r="A509" s="41">
        <v>44652</v>
      </c>
      <c r="B509" s="40">
        <v>2.3902999999999999</v>
      </c>
      <c r="C509" s="40">
        <v>1.07</v>
      </c>
      <c r="D509" s="40">
        <v>4293.04</v>
      </c>
      <c r="E509" s="40">
        <v>17506.47</v>
      </c>
      <c r="F509" s="40">
        <v>23.1</v>
      </c>
      <c r="G509" s="40">
        <v>46555620</v>
      </c>
      <c r="H509" s="40">
        <v>0.92700000000000005</v>
      </c>
      <c r="I509" s="40">
        <v>-0.42</v>
      </c>
      <c r="J509" s="40">
        <v>3911.07</v>
      </c>
      <c r="K509" s="40">
        <v>22903.55</v>
      </c>
      <c r="L509" s="40">
        <v>16</v>
      </c>
      <c r="M509" s="40">
        <v>2773654</v>
      </c>
    </row>
    <row r="510" spans="1:13" x14ac:dyDescent="0.6">
      <c r="A510" s="41">
        <v>44682</v>
      </c>
      <c r="B510" s="40">
        <v>2.9971000000000001</v>
      </c>
      <c r="C510" s="40">
        <v>1.32</v>
      </c>
      <c r="D510" s="40">
        <v>3903.7</v>
      </c>
      <c r="E510" s="40">
        <v>15937</v>
      </c>
      <c r="F510" s="40">
        <v>21.3</v>
      </c>
      <c r="G510" s="40">
        <v>42298100</v>
      </c>
      <c r="H510" s="40">
        <v>1.3273999999999999</v>
      </c>
      <c r="I510" s="40">
        <v>-0.49</v>
      </c>
      <c r="J510" s="40">
        <v>3743.64</v>
      </c>
      <c r="K510" s="40">
        <v>21968.95</v>
      </c>
      <c r="L510" s="40">
        <v>14.2</v>
      </c>
      <c r="M510" s="40">
        <v>2655730</v>
      </c>
    </row>
    <row r="511" spans="1:13" x14ac:dyDescent="0.6">
      <c r="A511" s="41">
        <v>44713</v>
      </c>
      <c r="B511" s="40">
        <v>2.9300999999999999</v>
      </c>
      <c r="C511" s="40">
        <v>1.6850000000000001</v>
      </c>
      <c r="D511" s="40">
        <v>3827.57</v>
      </c>
      <c r="E511" s="40">
        <v>15646.8</v>
      </c>
      <c r="F511" s="40">
        <v>20.7</v>
      </c>
      <c r="G511" s="40">
        <v>41452030</v>
      </c>
      <c r="H511" s="40">
        <v>1.5237000000000001</v>
      </c>
      <c r="I511" s="40">
        <v>-0.4</v>
      </c>
      <c r="J511" s="40">
        <v>3717.83</v>
      </c>
      <c r="K511" s="40">
        <v>21867.68</v>
      </c>
      <c r="L511" s="40">
        <v>14</v>
      </c>
      <c r="M511" s="40">
        <v>2636907</v>
      </c>
    </row>
    <row r="512" spans="1:13" x14ac:dyDescent="0.6">
      <c r="A512" s="41">
        <v>44743</v>
      </c>
      <c r="B512" s="40">
        <v>2.9030999999999998</v>
      </c>
      <c r="C512" s="40">
        <v>2.2999999999999998</v>
      </c>
      <c r="D512" s="40">
        <v>3568.73</v>
      </c>
      <c r="E512" s="40">
        <v>14608.78</v>
      </c>
      <c r="F512" s="40">
        <v>19.3</v>
      </c>
      <c r="G512" s="40">
        <v>38623920</v>
      </c>
      <c r="H512" s="40">
        <v>1.6109</v>
      </c>
      <c r="I512" s="40">
        <v>-0.2</v>
      </c>
      <c r="J512" s="40">
        <v>3470.18</v>
      </c>
      <c r="K512" s="40">
        <v>20459.419999999998</v>
      </c>
      <c r="L512" s="40">
        <v>13.1</v>
      </c>
      <c r="M512" s="40">
        <v>2458759</v>
      </c>
    </row>
    <row r="513" spans="1:13" x14ac:dyDescent="0.6">
      <c r="A513" s="41">
        <v>44774</v>
      </c>
      <c r="B513" s="40">
        <v>2.6046999999999998</v>
      </c>
      <c r="C513" s="40">
        <v>2.855</v>
      </c>
      <c r="D513" s="40">
        <v>3851.32</v>
      </c>
      <c r="E513" s="40">
        <v>15786.21</v>
      </c>
      <c r="F513" s="40">
        <v>21</v>
      </c>
      <c r="G513" s="40">
        <v>41668160</v>
      </c>
      <c r="H513" s="40">
        <v>1.1140000000000001</v>
      </c>
      <c r="I513" s="40">
        <v>0.25</v>
      </c>
      <c r="J513" s="40">
        <v>3830.16</v>
      </c>
      <c r="K513" s="40">
        <v>22632.16</v>
      </c>
      <c r="L513" s="40">
        <v>13.9</v>
      </c>
      <c r="M513" s="40">
        <v>2705083</v>
      </c>
    </row>
    <row r="514" spans="1:13" x14ac:dyDescent="0.6">
      <c r="A514" s="41">
        <v>44805</v>
      </c>
      <c r="B514" s="40">
        <v>3.2631999999999999</v>
      </c>
      <c r="C514" s="40">
        <v>3.1549999999999998</v>
      </c>
      <c r="D514" s="40">
        <v>3713.23</v>
      </c>
      <c r="E514" s="40">
        <v>15241.17</v>
      </c>
      <c r="F514" s="40">
        <v>20.5</v>
      </c>
      <c r="G514" s="40">
        <v>40140480</v>
      </c>
      <c r="H514" s="40">
        <v>2.2164999999999999</v>
      </c>
      <c r="I514" s="40">
        <v>0.81</v>
      </c>
      <c r="J514" s="40">
        <v>3581.55</v>
      </c>
      <c r="K514" s="40">
        <v>21213.16</v>
      </c>
      <c r="L514" s="40">
        <v>12.9</v>
      </c>
      <c r="M514" s="40">
        <v>2529792</v>
      </c>
    </row>
    <row r="515" spans="1:13" x14ac:dyDescent="0.6">
      <c r="A515" s="41">
        <v>44835</v>
      </c>
      <c r="B515" s="40">
        <v>3.6493000000000002</v>
      </c>
      <c r="C515" s="40">
        <v>3.8</v>
      </c>
      <c r="D515" s="40">
        <v>3453.25</v>
      </c>
      <c r="E515" s="40">
        <v>14194.55</v>
      </c>
      <c r="F515" s="40">
        <v>19.100000000000001</v>
      </c>
      <c r="G515" s="40">
        <v>37269090</v>
      </c>
      <c r="H515" s="40">
        <v>2.5228999999999999</v>
      </c>
      <c r="I515" s="40">
        <v>1.29</v>
      </c>
      <c r="J515" s="40">
        <v>3423.2</v>
      </c>
      <c r="K515" s="40">
        <v>20324.599999999999</v>
      </c>
      <c r="L515" s="40">
        <v>12.3</v>
      </c>
      <c r="M515" s="40">
        <v>2417616</v>
      </c>
    </row>
    <row r="516" spans="1:13" x14ac:dyDescent="0.6">
      <c r="A516" s="41">
        <v>44866</v>
      </c>
      <c r="B516" s="40">
        <v>4.0510999999999999</v>
      </c>
      <c r="C516" s="40">
        <v>4.7450000000000001</v>
      </c>
      <c r="D516" s="40">
        <v>3616.86</v>
      </c>
      <c r="E516" s="40">
        <v>14888.04</v>
      </c>
      <c r="F516" s="40">
        <v>20.2</v>
      </c>
      <c r="G516" s="40">
        <v>38999390</v>
      </c>
      <c r="H516" s="40">
        <v>2.681</v>
      </c>
      <c r="I516" s="40">
        <v>1.82</v>
      </c>
      <c r="J516" s="40">
        <v>3690.84</v>
      </c>
      <c r="K516" s="40">
        <v>21962.12</v>
      </c>
      <c r="L516" s="40">
        <v>13</v>
      </c>
      <c r="M516" s="40">
        <v>2607213</v>
      </c>
    </row>
    <row r="517" spans="1:13" x14ac:dyDescent="0.6">
      <c r="A517" s="41">
        <v>44896</v>
      </c>
      <c r="B517" s="40">
        <v>3.5282</v>
      </c>
      <c r="C517" s="40">
        <v>4.7949999999999999</v>
      </c>
      <c r="D517" s="40">
        <v>3810.22</v>
      </c>
      <c r="E517" s="40">
        <v>15706.21</v>
      </c>
      <c r="F517" s="40">
        <v>21.4</v>
      </c>
      <c r="G517" s="40">
        <v>41070370</v>
      </c>
      <c r="H517" s="40">
        <v>2.2780999999999998</v>
      </c>
      <c r="I517" s="40">
        <v>2.0449999999999999</v>
      </c>
      <c r="J517" s="40">
        <v>3956.63</v>
      </c>
      <c r="K517" s="40">
        <v>23593.71</v>
      </c>
      <c r="L517" s="40">
        <v>13.8</v>
      </c>
      <c r="M517" s="40">
        <v>2797089</v>
      </c>
    </row>
    <row r="518" spans="1:13" x14ac:dyDescent="0.6">
      <c r="A518" s="41">
        <v>44927</v>
      </c>
      <c r="B518" s="40">
        <v>3.8325999999999998</v>
      </c>
      <c r="C518" s="40">
        <v>4.7699999999999996</v>
      </c>
      <c r="D518" s="40">
        <v>3579.9</v>
      </c>
      <c r="E518" s="40">
        <v>14778.08</v>
      </c>
      <c r="F518" s="40">
        <v>20.100000000000001</v>
      </c>
      <c r="G518" s="40">
        <v>38452260</v>
      </c>
      <c r="H518" s="40">
        <v>2.9895</v>
      </c>
      <c r="I518" s="40">
        <v>2.25</v>
      </c>
      <c r="J518" s="40">
        <v>3854.97</v>
      </c>
      <c r="K518" s="40">
        <v>23036.22</v>
      </c>
      <c r="L518" s="40">
        <v>13.2</v>
      </c>
      <c r="M518" s="40">
        <v>2723792</v>
      </c>
    </row>
    <row r="519" spans="1:13" x14ac:dyDescent="0.6">
      <c r="A519" s="41">
        <v>44958</v>
      </c>
      <c r="B519" s="40">
        <v>3.3993000000000002</v>
      </c>
      <c r="C519" s="40">
        <v>4.8449999999999998</v>
      </c>
      <c r="D519" s="40">
        <v>3863.3</v>
      </c>
      <c r="E519" s="40">
        <v>15970.61</v>
      </c>
      <c r="F519" s="40">
        <v>22</v>
      </c>
      <c r="G519" s="40">
        <v>41500260</v>
      </c>
      <c r="H519" s="40">
        <v>2.7738</v>
      </c>
      <c r="I519" s="40">
        <v>2.6549999999999998</v>
      </c>
      <c r="J519" s="40">
        <v>4158.92</v>
      </c>
      <c r="K519" s="40">
        <v>24904.82</v>
      </c>
      <c r="L519" s="40">
        <v>14.3</v>
      </c>
      <c r="M519" s="40">
        <v>2936795</v>
      </c>
    </row>
    <row r="520" spans="1:13" x14ac:dyDescent="0.6">
      <c r="A520" s="41">
        <v>44986</v>
      </c>
      <c r="B520" s="40">
        <v>4.0021000000000004</v>
      </c>
      <c r="C520" s="40">
        <v>5.0199999999999996</v>
      </c>
      <c r="D520" s="40">
        <v>3709.6</v>
      </c>
      <c r="E520" s="40">
        <v>15354.63</v>
      </c>
      <c r="F520" s="40">
        <v>21.6</v>
      </c>
      <c r="G520" s="40">
        <v>39825040</v>
      </c>
      <c r="H520" s="40">
        <v>3.2046000000000001</v>
      </c>
      <c r="I520" s="40">
        <v>2.85</v>
      </c>
      <c r="J520" s="40">
        <v>4220.2700000000004</v>
      </c>
      <c r="K520" s="40">
        <v>25320.73</v>
      </c>
      <c r="L520" s="40">
        <v>14.8</v>
      </c>
      <c r="M520" s="40">
        <v>2972259</v>
      </c>
    </row>
    <row r="521" spans="1:13" x14ac:dyDescent="0.6">
      <c r="A521" s="41">
        <v>45017</v>
      </c>
      <c r="B521" s="40">
        <v>3.4238</v>
      </c>
      <c r="C521" s="40">
        <v>5.1849999999999996</v>
      </c>
      <c r="D521" s="40">
        <v>3846.65</v>
      </c>
      <c r="E521" s="40">
        <v>15945.64</v>
      </c>
      <c r="F521" s="40">
        <v>22.5</v>
      </c>
      <c r="G521" s="40">
        <v>41263100</v>
      </c>
      <c r="H521" s="40">
        <v>2.7582</v>
      </c>
      <c r="I521" s="40">
        <v>3.15</v>
      </c>
      <c r="J521" s="40">
        <v>4302.54</v>
      </c>
      <c r="K521" s="40">
        <v>25874.39</v>
      </c>
      <c r="L521" s="40">
        <v>17.399999999999999</v>
      </c>
      <c r="M521" s="40">
        <v>3030770</v>
      </c>
    </row>
    <row r="522" spans="1:13" x14ac:dyDescent="0.6">
      <c r="A522" s="41">
        <v>45047</v>
      </c>
      <c r="B522" s="40">
        <v>3.5939999999999999</v>
      </c>
      <c r="C522" s="40">
        <v>5.34</v>
      </c>
      <c r="D522" s="40">
        <v>3873.87</v>
      </c>
      <c r="E522" s="40">
        <v>16078.69</v>
      </c>
      <c r="F522" s="40">
        <v>22.7</v>
      </c>
      <c r="G522" s="40">
        <v>41564690</v>
      </c>
      <c r="H522" s="40">
        <v>2.8437999999999999</v>
      </c>
      <c r="I522" s="40">
        <v>3.3</v>
      </c>
      <c r="J522" s="40">
        <v>4398.76</v>
      </c>
      <c r="K522" s="40">
        <v>26504.49</v>
      </c>
      <c r="L522" s="40">
        <v>17.8</v>
      </c>
      <c r="M522" s="40">
        <v>3101124</v>
      </c>
    </row>
    <row r="523" spans="1:13" x14ac:dyDescent="0.6">
      <c r="A523" s="41">
        <v>45078</v>
      </c>
      <c r="B523" s="40">
        <v>3.6029</v>
      </c>
      <c r="C523" s="40">
        <v>5.58</v>
      </c>
      <c r="D523" s="40">
        <v>3926.85</v>
      </c>
      <c r="E523" s="40">
        <v>16322.25</v>
      </c>
      <c r="F523" s="40">
        <v>22.8</v>
      </c>
      <c r="G523" s="40">
        <v>42129310</v>
      </c>
      <c r="H523" s="40">
        <v>2.7761</v>
      </c>
      <c r="I523" s="40">
        <v>3.55</v>
      </c>
      <c r="J523" s="40">
        <v>4196.5</v>
      </c>
      <c r="K523" s="40">
        <v>25343.05</v>
      </c>
      <c r="L523" s="40">
        <v>17</v>
      </c>
      <c r="M523" s="40">
        <v>2963869</v>
      </c>
    </row>
    <row r="524" spans="1:13" x14ac:dyDescent="0.6">
      <c r="A524" s="41">
        <v>45108</v>
      </c>
      <c r="B524" s="40">
        <v>3.8569</v>
      </c>
      <c r="C524" s="40">
        <v>5.4950000000000001</v>
      </c>
      <c r="D524" s="40">
        <v>4155.2700000000004</v>
      </c>
      <c r="E524" s="40">
        <v>17294.54</v>
      </c>
      <c r="F524" s="40">
        <v>24.1</v>
      </c>
      <c r="G524" s="40">
        <v>44550270</v>
      </c>
      <c r="H524" s="40">
        <v>2.9352</v>
      </c>
      <c r="I524" s="40">
        <v>3.625</v>
      </c>
      <c r="J524" s="40">
        <v>4324.1499999999996</v>
      </c>
      <c r="K524" s="40">
        <v>26170.89</v>
      </c>
      <c r="L524" s="40">
        <v>17.2</v>
      </c>
      <c r="M524" s="40">
        <v>3004294</v>
      </c>
    </row>
    <row r="525" spans="1:13" x14ac:dyDescent="0.6">
      <c r="A525" s="41">
        <v>45139</v>
      </c>
      <c r="B525" s="40">
        <v>4.0358999999999998</v>
      </c>
      <c r="C525" s="40">
        <v>5.6150000000000002</v>
      </c>
      <c r="D525" s="40">
        <v>4273.2</v>
      </c>
      <c r="E525" s="40">
        <v>17806.97</v>
      </c>
      <c r="F525" s="40">
        <v>24.9</v>
      </c>
      <c r="G525" s="40">
        <v>45836140</v>
      </c>
      <c r="H525" s="40">
        <v>3.0388999999999999</v>
      </c>
      <c r="I525" s="40">
        <v>3.85</v>
      </c>
      <c r="J525" s="40">
        <v>4319.28</v>
      </c>
      <c r="K525" s="40">
        <v>26195.41</v>
      </c>
      <c r="L525" s="40">
        <v>16.100000000000001</v>
      </c>
      <c r="M525" s="40">
        <v>3007674</v>
      </c>
    </row>
    <row r="526" spans="1:13" x14ac:dyDescent="0.6">
      <c r="A526" s="41">
        <v>45170</v>
      </c>
      <c r="B526" s="40">
        <v>4.1847000000000003</v>
      </c>
      <c r="C526" s="40">
        <v>5.68</v>
      </c>
      <c r="D526" s="40">
        <v>4216.88</v>
      </c>
      <c r="E526" s="40">
        <v>17595.98</v>
      </c>
      <c r="F526" s="40">
        <v>24</v>
      </c>
      <c r="G526" s="40">
        <v>45240980</v>
      </c>
      <c r="H526" s="40">
        <v>3.0175000000000001</v>
      </c>
      <c r="I526" s="40">
        <v>3.84</v>
      </c>
      <c r="J526" s="40">
        <v>4225.08</v>
      </c>
      <c r="K526" s="40">
        <v>25683.42</v>
      </c>
      <c r="L526" s="40">
        <v>15.7</v>
      </c>
      <c r="M526" s="40">
        <v>2941264</v>
      </c>
    </row>
    <row r="527" spans="1:13" x14ac:dyDescent="0.6">
      <c r="A527" s="41">
        <v>45200</v>
      </c>
      <c r="B527" s="40">
        <v>4.6851000000000003</v>
      </c>
      <c r="C527" s="40">
        <v>5.8250000000000002</v>
      </c>
      <c r="D527" s="40">
        <v>4000.2</v>
      </c>
      <c r="E527" s="40">
        <v>16712.689999999999</v>
      </c>
      <c r="F527" s="40">
        <v>22.7</v>
      </c>
      <c r="G527" s="40">
        <v>42868590</v>
      </c>
      <c r="H527" s="40">
        <v>3.4302000000000001</v>
      </c>
      <c r="I527" s="40">
        <v>4.01</v>
      </c>
      <c r="J527" s="40">
        <v>4033.67</v>
      </c>
      <c r="K527" s="40">
        <v>24572.93</v>
      </c>
      <c r="L527" s="40">
        <v>15.1</v>
      </c>
      <c r="M527" s="40">
        <v>2801564</v>
      </c>
    </row>
    <row r="528" spans="1:13" x14ac:dyDescent="0.6">
      <c r="A528" s="41">
        <v>45231</v>
      </c>
      <c r="B528" s="40">
        <v>4.76</v>
      </c>
      <c r="C528" s="40">
        <v>5.7149999999999999</v>
      </c>
      <c r="D528" s="40">
        <v>3940.27</v>
      </c>
      <c r="E528" s="40">
        <v>16484.78</v>
      </c>
      <c r="F528" s="40">
        <v>22.2</v>
      </c>
      <c r="G528" s="40">
        <v>42175500</v>
      </c>
      <c r="H528" s="40">
        <v>3.2822</v>
      </c>
      <c r="I528" s="40">
        <v>4.0199999999999996</v>
      </c>
      <c r="J528" s="40">
        <v>3937.82</v>
      </c>
      <c r="K528" s="40">
        <v>24046.18</v>
      </c>
      <c r="L528" s="40">
        <v>15.7</v>
      </c>
      <c r="M528" s="40">
        <v>2725831</v>
      </c>
    </row>
    <row r="529" spans="1:13" x14ac:dyDescent="0.6">
      <c r="A529" s="41">
        <v>45261</v>
      </c>
      <c r="B529" s="40">
        <v>4.2210000000000001</v>
      </c>
      <c r="C529" s="40">
        <v>5.67</v>
      </c>
      <c r="D529" s="40">
        <v>4286.74</v>
      </c>
      <c r="E529" s="40">
        <v>17957.7</v>
      </c>
      <c r="F529" s="40">
        <v>24.1</v>
      </c>
      <c r="G529" s="40">
        <v>45898420</v>
      </c>
      <c r="H529" s="40">
        <v>2.8738000000000001</v>
      </c>
      <c r="I529" s="40">
        <v>3.9750000000000001</v>
      </c>
      <c r="J529" s="40">
        <v>4172.03</v>
      </c>
      <c r="K529" s="40">
        <v>25534.9</v>
      </c>
      <c r="L529" s="40">
        <v>16.7</v>
      </c>
      <c r="M529" s="40">
        <v>2887830</v>
      </c>
    </row>
    <row r="530" spans="1:13" x14ac:dyDescent="0.6">
      <c r="A530" s="41">
        <v>45292</v>
      </c>
      <c r="B530" s="40">
        <v>3.8664999999999998</v>
      </c>
      <c r="C530" s="40">
        <v>5.53</v>
      </c>
      <c r="D530" s="40">
        <v>4456.05</v>
      </c>
      <c r="E530" s="40">
        <v>18689.259999999998</v>
      </c>
      <c r="F530" s="40">
        <v>25</v>
      </c>
      <c r="G530" s="40">
        <v>47583100</v>
      </c>
      <c r="H530" s="40">
        <v>2.4666000000000001</v>
      </c>
      <c r="I530" s="40">
        <v>3.9950000000000001</v>
      </c>
      <c r="J530" s="40">
        <v>4296.59</v>
      </c>
      <c r="K530" s="40">
        <v>26352.400000000001</v>
      </c>
      <c r="L530" s="40">
        <v>17.2</v>
      </c>
      <c r="M530" s="40">
        <v>2973740</v>
      </c>
    </row>
    <row r="531" spans="1:13" x14ac:dyDescent="0.6">
      <c r="A531" s="41">
        <v>45323</v>
      </c>
      <c r="B531" s="40">
        <v>3.8580999999999999</v>
      </c>
      <c r="C531" s="40">
        <v>5.5</v>
      </c>
      <c r="D531" s="40">
        <v>4568.09</v>
      </c>
      <c r="E531" s="40">
        <v>19183.830000000002</v>
      </c>
      <c r="F531" s="40">
        <v>25.6</v>
      </c>
      <c r="G531" s="40">
        <v>48762980</v>
      </c>
      <c r="H531" s="40">
        <v>2.5461</v>
      </c>
      <c r="I531" s="40">
        <v>3.9849999999999999</v>
      </c>
      <c r="J531" s="40">
        <v>4337.6899999999996</v>
      </c>
      <c r="K531" s="40">
        <v>26666.36</v>
      </c>
      <c r="L531" s="40">
        <v>17.7</v>
      </c>
      <c r="M531" s="40">
        <v>2998847</v>
      </c>
    </row>
    <row r="532" spans="1:13" x14ac:dyDescent="0.6">
      <c r="A532" s="41">
        <v>45352</v>
      </c>
      <c r="B532" s="40">
        <v>4.1863000000000001</v>
      </c>
      <c r="C532" s="40">
        <v>5.415</v>
      </c>
      <c r="D532" s="40">
        <v>4788.8</v>
      </c>
      <c r="E532" s="40">
        <v>20133.71</v>
      </c>
      <c r="F532" s="40">
        <v>26.3</v>
      </c>
      <c r="G532" s="40">
        <v>51129380</v>
      </c>
      <c r="H532" s="40">
        <v>2.8818000000000001</v>
      </c>
      <c r="I532" s="40">
        <v>3.95</v>
      </c>
      <c r="J532" s="40">
        <v>4527.29</v>
      </c>
      <c r="K532" s="40">
        <v>27890.12</v>
      </c>
      <c r="L532" s="40">
        <v>18.3</v>
      </c>
      <c r="M532" s="40">
        <v>3129773</v>
      </c>
    </row>
    <row r="533" spans="1:13" x14ac:dyDescent="0.6">
      <c r="A533" s="41">
        <v>45383</v>
      </c>
      <c r="B533" s="40">
        <v>4.3257000000000003</v>
      </c>
      <c r="C533" s="40">
        <v>5.54</v>
      </c>
      <c r="D533" s="40">
        <v>4887.97</v>
      </c>
      <c r="E533" s="40">
        <v>20573.61</v>
      </c>
      <c r="F533" s="40">
        <v>26.8</v>
      </c>
      <c r="G533" s="40">
        <v>52121310</v>
      </c>
      <c r="H533" s="40">
        <v>2.8018000000000001</v>
      </c>
      <c r="I533" s="40">
        <v>4.05</v>
      </c>
      <c r="J533" s="40">
        <v>4639.16</v>
      </c>
      <c r="K533" s="40">
        <v>28639.18</v>
      </c>
      <c r="L533" s="40">
        <v>19.100000000000001</v>
      </c>
      <c r="M533" s="40">
        <v>3204870</v>
      </c>
    </row>
    <row r="534" spans="1:13" x14ac:dyDescent="0.6">
      <c r="A534" s="41">
        <v>45413</v>
      </c>
      <c r="B534" s="40">
        <v>4.6307999999999998</v>
      </c>
      <c r="C534" s="40">
        <v>5.6</v>
      </c>
      <c r="D534" s="40">
        <v>4678.33</v>
      </c>
      <c r="E534" s="40">
        <v>19714.72</v>
      </c>
      <c r="F534" s="40">
        <v>25.6</v>
      </c>
      <c r="G534" s="40">
        <v>49859870</v>
      </c>
      <c r="H534" s="40">
        <v>3.0541</v>
      </c>
      <c r="I534" s="40">
        <v>3.95</v>
      </c>
      <c r="J534" s="40">
        <v>4507.87</v>
      </c>
      <c r="K534" s="40">
        <v>27891</v>
      </c>
      <c r="L534" s="40">
        <v>19.100000000000001</v>
      </c>
      <c r="M534" s="40">
        <v>3118438</v>
      </c>
    </row>
    <row r="535" spans="1:13" x14ac:dyDescent="0.6">
      <c r="A535" s="41">
        <v>45444</v>
      </c>
      <c r="B535" s="40">
        <v>4.4927999999999999</v>
      </c>
      <c r="C535" s="40">
        <v>5.55</v>
      </c>
      <c r="D535" s="40">
        <v>4906.6499999999996</v>
      </c>
      <c r="E535" s="40">
        <v>20701.16</v>
      </c>
      <c r="F535" s="40">
        <v>26.8</v>
      </c>
      <c r="G535" s="40">
        <v>52366660</v>
      </c>
      <c r="H535" s="40">
        <v>3.1132</v>
      </c>
      <c r="I535" s="40">
        <v>3.95</v>
      </c>
      <c r="J535" s="40">
        <v>4518.03</v>
      </c>
      <c r="K535" s="40">
        <v>28016.14</v>
      </c>
      <c r="L535" s="40">
        <v>19.2</v>
      </c>
      <c r="M535" s="40">
        <v>3125789</v>
      </c>
    </row>
    <row r="536" spans="1:13" x14ac:dyDescent="0.6">
      <c r="A536" s="41">
        <v>45474</v>
      </c>
      <c r="B536" s="40">
        <v>4.4755000000000003</v>
      </c>
      <c r="C536" s="40">
        <v>5.45</v>
      </c>
      <c r="D536" s="40">
        <v>5071.3900000000003</v>
      </c>
      <c r="E536" s="40">
        <v>21419.59</v>
      </c>
      <c r="F536" s="40">
        <v>27.7</v>
      </c>
      <c r="G536" s="40">
        <v>54121980</v>
      </c>
      <c r="H536" s="40">
        <v>3.2989999999999999</v>
      </c>
      <c r="I536" s="40">
        <v>3.8050000000000002</v>
      </c>
      <c r="J536" s="40">
        <v>4244.93</v>
      </c>
      <c r="K536" s="40">
        <v>26381.29</v>
      </c>
      <c r="L536" s="40">
        <v>18</v>
      </c>
      <c r="M536" s="40">
        <v>2937981</v>
      </c>
    </row>
    <row r="537" spans="1:13" x14ac:dyDescent="0.6">
      <c r="A537" s="41">
        <v>45505</v>
      </c>
      <c r="B537" s="40">
        <v>3.9882</v>
      </c>
      <c r="C537" s="40">
        <v>5.36</v>
      </c>
      <c r="D537" s="40">
        <v>5058.2700000000004</v>
      </c>
      <c r="E537" s="40">
        <v>21389.21</v>
      </c>
      <c r="F537" s="40">
        <v>27.2</v>
      </c>
      <c r="G537" s="40">
        <v>53898220</v>
      </c>
      <c r="H537" s="40">
        <v>2.9073000000000002</v>
      </c>
      <c r="I537" s="40">
        <v>3.6349999999999998</v>
      </c>
      <c r="J537" s="40">
        <v>4146.66</v>
      </c>
      <c r="K537" s="40">
        <v>25834.880000000001</v>
      </c>
      <c r="L537" s="40">
        <v>18.100000000000001</v>
      </c>
      <c r="M537" s="40">
        <v>2874075</v>
      </c>
    </row>
    <row r="538" spans="1:13" x14ac:dyDescent="0.6">
      <c r="A538" s="41">
        <v>45536</v>
      </c>
      <c r="B538" s="40">
        <v>3.9188000000000001</v>
      </c>
      <c r="C538" s="40">
        <v>5.125</v>
      </c>
      <c r="D538" s="40">
        <v>5250.54</v>
      </c>
      <c r="E538" s="40">
        <v>22226.37</v>
      </c>
      <c r="F538" s="40">
        <v>27.5</v>
      </c>
      <c r="G538" s="40">
        <v>55937890</v>
      </c>
      <c r="H538" s="40">
        <v>2.9228999999999998</v>
      </c>
      <c r="I538" s="40">
        <v>3.5249999999999999</v>
      </c>
      <c r="J538" s="40">
        <v>4289.2299999999996</v>
      </c>
      <c r="K538" s="40">
        <v>26784.85</v>
      </c>
      <c r="L538" s="40">
        <v>18.8</v>
      </c>
      <c r="M538" s="40">
        <v>2970403</v>
      </c>
    </row>
    <row r="539" spans="1:13" x14ac:dyDescent="0.6">
      <c r="A539" s="41">
        <v>45566</v>
      </c>
      <c r="B539" s="40">
        <v>3.7376999999999998</v>
      </c>
      <c r="C539" s="40">
        <v>4.7649999999999997</v>
      </c>
      <c r="D539" s="40">
        <v>5311.84</v>
      </c>
      <c r="E539" s="40">
        <v>22510.91</v>
      </c>
      <c r="F539" s="40">
        <v>28.1</v>
      </c>
      <c r="G539" s="40">
        <v>56634370</v>
      </c>
      <c r="H539" s="40">
        <v>2.7303000000000002</v>
      </c>
      <c r="I539" s="40">
        <v>3.3250000000000002</v>
      </c>
      <c r="J539" s="40">
        <v>4260.93</v>
      </c>
      <c r="K539" s="40">
        <v>26671.94</v>
      </c>
      <c r="L539" s="40">
        <v>17.899999999999999</v>
      </c>
      <c r="M539" s="40">
        <v>2950522</v>
      </c>
    </row>
    <row r="540" spans="1:13" x14ac:dyDescent="0.6">
      <c r="A540" s="41">
        <v>45597</v>
      </c>
      <c r="B540" s="40">
        <v>4.3722000000000003</v>
      </c>
      <c r="C540" s="40">
        <v>4.665</v>
      </c>
      <c r="D540" s="40">
        <v>5342.49</v>
      </c>
      <c r="E540" s="40">
        <v>22666.52</v>
      </c>
      <c r="F540" s="40">
        <v>28.4</v>
      </c>
      <c r="G540" s="40">
        <v>56934080</v>
      </c>
      <c r="H540" s="40">
        <v>3.0720000000000001</v>
      </c>
      <c r="I540" s="40">
        <v>3.125</v>
      </c>
      <c r="J540" s="40">
        <v>4136.84</v>
      </c>
      <c r="K540" s="40">
        <v>25960.16</v>
      </c>
      <c r="L540" s="40">
        <v>17.3</v>
      </c>
      <c r="M540" s="40">
        <v>2864459</v>
      </c>
    </row>
    <row r="541" spans="1:13" x14ac:dyDescent="0.6">
      <c r="A541" s="41">
        <v>45627</v>
      </c>
      <c r="B541" s="40">
        <v>4.1977000000000002</v>
      </c>
      <c r="C541" s="40">
        <v>4.6150000000000002</v>
      </c>
      <c r="D541" s="40">
        <v>5663.21</v>
      </c>
      <c r="E541" s="40">
        <v>24050.32</v>
      </c>
      <c r="F541" s="40">
        <v>29.9</v>
      </c>
      <c r="G541" s="40">
        <v>60367570</v>
      </c>
      <c r="H541" s="40">
        <v>2.8437999999999999</v>
      </c>
      <c r="I541" s="40">
        <v>2.93</v>
      </c>
      <c r="J541" s="40">
        <v>4035.47</v>
      </c>
      <c r="K541" s="40">
        <v>25381.68</v>
      </c>
      <c r="L541" s="40">
        <v>17.100000000000001</v>
      </c>
      <c r="M541" s="40">
        <v>2794926</v>
      </c>
    </row>
    <row r="542" spans="1:13" x14ac:dyDescent="0.6">
      <c r="A542" s="41">
        <v>45658</v>
      </c>
      <c r="B542" s="40">
        <v>4.5747</v>
      </c>
      <c r="C542" s="40">
        <v>4.4349999999999996</v>
      </c>
      <c r="D542" s="40">
        <v>5494.64</v>
      </c>
      <c r="E542" s="40">
        <v>23360.14</v>
      </c>
      <c r="F542" s="40">
        <v>28.9</v>
      </c>
      <c r="G542" s="40">
        <v>58560050</v>
      </c>
      <c r="H542" s="40">
        <v>3.1242000000000001</v>
      </c>
      <c r="I542" s="40">
        <v>2.87</v>
      </c>
      <c r="J542" s="40">
        <v>4169.08</v>
      </c>
      <c r="K542" s="40">
        <v>26289.29</v>
      </c>
      <c r="L542" s="40">
        <v>17.600000000000001</v>
      </c>
      <c r="M542" s="40">
        <v>2878004</v>
      </c>
    </row>
    <row r="543" spans="1:13" x14ac:dyDescent="0.6">
      <c r="A543" s="41">
        <v>45689</v>
      </c>
      <c r="B543" s="40">
        <v>4.5480999999999998</v>
      </c>
      <c r="C543" s="40">
        <v>4.4349999999999996</v>
      </c>
      <c r="D543" s="40">
        <v>5671.1</v>
      </c>
      <c r="E543" s="40">
        <v>24135.759999999998</v>
      </c>
      <c r="F543" s="40">
        <v>29</v>
      </c>
      <c r="G543" s="40">
        <v>60196050</v>
      </c>
      <c r="H543" s="40">
        <v>3.1038000000000001</v>
      </c>
      <c r="I543" s="40">
        <v>2.77</v>
      </c>
      <c r="J543" s="40">
        <v>4493.29</v>
      </c>
      <c r="K543" s="40">
        <v>28400.48</v>
      </c>
      <c r="L543" s="40">
        <v>19.2</v>
      </c>
      <c r="M543" s="40">
        <v>3102638</v>
      </c>
    </row>
    <row r="544" spans="1:13" x14ac:dyDescent="0.6">
      <c r="A544" s="41">
        <v>45717</v>
      </c>
      <c r="B544" s="40">
        <v>4.2008000000000001</v>
      </c>
      <c r="C544" s="40">
        <v>4.4249999999999998</v>
      </c>
      <c r="D544" s="40">
        <v>5565.05</v>
      </c>
      <c r="E544" s="40">
        <v>23707</v>
      </c>
      <c r="F544" s="40">
        <v>27.8</v>
      </c>
      <c r="G544" s="40">
        <v>59044420</v>
      </c>
      <c r="H544" s="40">
        <v>3.0133000000000001</v>
      </c>
      <c r="I544" s="40">
        <v>2.5049999999999999</v>
      </c>
      <c r="J544" s="40">
        <v>4566.37</v>
      </c>
      <c r="K544" s="40">
        <v>28922.25</v>
      </c>
      <c r="L544" s="40">
        <v>19.7</v>
      </c>
      <c r="M544" s="40">
        <v>3145385</v>
      </c>
    </row>
    <row r="545" spans="1:13" x14ac:dyDescent="0.6">
      <c r="A545" s="41">
        <v>45748</v>
      </c>
      <c r="B545" s="40">
        <v>4.1704999999999997</v>
      </c>
      <c r="C545" s="40">
        <v>4.3849999999999998</v>
      </c>
      <c r="D545" s="40">
        <v>5252.36</v>
      </c>
      <c r="E545" s="40">
        <v>22400.17</v>
      </c>
      <c r="F545" s="40">
        <v>26.2</v>
      </c>
      <c r="G545" s="40">
        <v>55704590</v>
      </c>
      <c r="H545" s="40">
        <v>3.2307000000000001</v>
      </c>
      <c r="I545" s="40">
        <v>2.36</v>
      </c>
      <c r="J545" s="40">
        <v>4390.5</v>
      </c>
      <c r="K545" s="40">
        <v>27874.1</v>
      </c>
      <c r="L545" s="40">
        <v>18.5</v>
      </c>
      <c r="M545" s="40">
        <v>3021014</v>
      </c>
    </row>
    <row r="546" spans="1:13" x14ac:dyDescent="0.6">
      <c r="A546" s="41">
        <v>45778</v>
      </c>
      <c r="B546" s="40">
        <v>4.2173999999999996</v>
      </c>
      <c r="C546" s="40">
        <v>4.3600000000000003</v>
      </c>
      <c r="D546" s="40">
        <v>5233.53</v>
      </c>
      <c r="E546" s="40">
        <v>22346.77</v>
      </c>
      <c r="F546" s="40">
        <v>25.6</v>
      </c>
      <c r="G546" s="40">
        <v>55467540</v>
      </c>
      <c r="H546" s="40">
        <v>3.1758999999999999</v>
      </c>
      <c r="I546" s="40">
        <v>2.14</v>
      </c>
      <c r="J546" s="40">
        <v>4255.8599999999997</v>
      </c>
      <c r="K546" s="40">
        <v>27089.09</v>
      </c>
      <c r="L546" s="40">
        <v>18.399999999999999</v>
      </c>
      <c r="M546" s="40">
        <v>2919070</v>
      </c>
    </row>
    <row r="547" spans="1:13" x14ac:dyDescent="0.6">
      <c r="A547" s="41">
        <v>45809</v>
      </c>
      <c r="B547" s="40">
        <v>4.3810000000000002</v>
      </c>
      <c r="C547" s="40">
        <v>4.4450000000000003</v>
      </c>
      <c r="D547" s="40">
        <v>5528.86</v>
      </c>
      <c r="E547" s="40">
        <v>23632.9</v>
      </c>
      <c r="F547" s="40">
        <v>27</v>
      </c>
      <c r="G547" s="40">
        <v>58648880</v>
      </c>
      <c r="H547" s="40">
        <v>3.1833999999999998</v>
      </c>
      <c r="I547" s="40">
        <v>2.0550000000000002</v>
      </c>
      <c r="J547" s="40">
        <v>4324.74</v>
      </c>
      <c r="K547" s="40">
        <v>27591.37</v>
      </c>
      <c r="L547" s="40">
        <v>18.600000000000001</v>
      </c>
      <c r="M547" s="40">
        <v>2967974</v>
      </c>
    </row>
    <row r="548" spans="1:13" x14ac:dyDescent="0.6">
      <c r="A548" s="41">
        <v>45839</v>
      </c>
      <c r="B548" s="40">
        <v>4.2492999999999999</v>
      </c>
      <c r="C548" s="40">
        <v>4.375</v>
      </c>
      <c r="D548" s="40">
        <v>5794.42</v>
      </c>
      <c r="E548" s="40">
        <v>24794.7</v>
      </c>
      <c r="F548" s="40">
        <v>28.2</v>
      </c>
      <c r="G548" s="40">
        <v>61480290</v>
      </c>
      <c r="H548" s="40">
        <v>3.2591999999999999</v>
      </c>
      <c r="I548" s="40">
        <v>1.95</v>
      </c>
      <c r="J548" s="40">
        <v>4271</v>
      </c>
      <c r="K548" s="40">
        <v>27315.97</v>
      </c>
      <c r="L548" s="40">
        <v>18.399999999999999</v>
      </c>
      <c r="M548" s="40">
        <v>2929431</v>
      </c>
    </row>
    <row r="549" spans="1:13" x14ac:dyDescent="0.6">
      <c r="A549" s="41">
        <v>45870</v>
      </c>
      <c r="B549" s="40">
        <v>4.2126999999999999</v>
      </c>
      <c r="C549" s="40">
        <v>4.335</v>
      </c>
      <c r="D549" s="40">
        <v>5825.89</v>
      </c>
      <c r="E549" s="40">
        <v>24956.18</v>
      </c>
      <c r="F549" s="40">
        <v>28.2</v>
      </c>
      <c r="G549" s="40">
        <v>61806420</v>
      </c>
      <c r="H549" s="40">
        <v>3.3355999999999999</v>
      </c>
      <c r="I549" s="40">
        <v>2.0449999999999999</v>
      </c>
      <c r="J549" s="40">
        <v>4193.01</v>
      </c>
      <c r="K549" s="40">
        <v>26885.01</v>
      </c>
      <c r="L549" s="40">
        <v>18.7</v>
      </c>
      <c r="M549" s="40">
        <v>2877306</v>
      </c>
    </row>
    <row r="550" spans="1:13" x14ac:dyDescent="0.6">
      <c r="A550" s="41">
        <v>45901</v>
      </c>
      <c r="B550" s="40">
        <v>4.2049000000000003</v>
      </c>
      <c r="C550" s="40">
        <v>4.2450000000000001</v>
      </c>
      <c r="D550" s="40">
        <v>6037.02</v>
      </c>
      <c r="E550" s="40">
        <v>25885.61</v>
      </c>
      <c r="F550" s="40">
        <v>28.6</v>
      </c>
      <c r="G550" s="40">
        <v>64053760</v>
      </c>
      <c r="H550" s="40">
        <v>3.5379</v>
      </c>
      <c r="I550" s="40">
        <v>1.98</v>
      </c>
      <c r="J550" s="40">
        <v>4277.62</v>
      </c>
      <c r="K550" s="40">
        <v>27489.61</v>
      </c>
      <c r="L550" s="40">
        <v>18.899999999999999</v>
      </c>
      <c r="M550" s="40">
        <v>2933246</v>
      </c>
    </row>
    <row r="551" spans="1:13" x14ac:dyDescent="0.6">
      <c r="A551" s="41">
        <v>45931</v>
      </c>
      <c r="B551" s="40">
        <v>4.0876000000000001</v>
      </c>
      <c r="C551" s="40">
        <v>4.0949999999999998</v>
      </c>
      <c r="D551" s="40">
        <v>6272.79</v>
      </c>
      <c r="E551" s="40">
        <v>26923.21</v>
      </c>
      <c r="F551" s="40">
        <v>29.6</v>
      </c>
      <c r="G551" s="40">
        <v>66615250</v>
      </c>
      <c r="H551" s="40">
        <v>3.4561000000000002</v>
      </c>
      <c r="I551" s="40">
        <v>2</v>
      </c>
      <c r="J551" s="40">
        <v>4398.2700000000004</v>
      </c>
      <c r="K551" s="40">
        <v>28330.98</v>
      </c>
      <c r="L551" s="40">
        <v>19.7</v>
      </c>
      <c r="M551" s="40">
        <v>3007313</v>
      </c>
    </row>
    <row r="552" spans="1:13" x14ac:dyDescent="0.6">
      <c r="A552" s="41">
        <v>45962</v>
      </c>
      <c r="B552" s="40">
        <v>4.0766999999999998</v>
      </c>
      <c r="C552" s="40">
        <v>4.0449999999999999</v>
      </c>
      <c r="D552" s="40">
        <v>6379.8</v>
      </c>
      <c r="E552" s="40">
        <v>27409.11</v>
      </c>
      <c r="F552" s="40">
        <v>29.6</v>
      </c>
      <c r="G552" s="40">
        <v>67799810</v>
      </c>
      <c r="H552" s="40">
        <v>3.3531</v>
      </c>
      <c r="I552" s="40">
        <v>2.0099999999999998</v>
      </c>
      <c r="J552" s="40">
        <v>4499.42</v>
      </c>
      <c r="K552" s="40">
        <v>29046.94</v>
      </c>
      <c r="L552" s="40">
        <v>19.899999999999999</v>
      </c>
      <c r="M552" s="40">
        <v>3071051</v>
      </c>
    </row>
    <row r="553" spans="1:13" x14ac:dyDescent="0.6">
      <c r="A553" s="41">
        <v>45992</v>
      </c>
      <c r="B553" s="40">
        <v>4.0778999999999996</v>
      </c>
      <c r="C553" s="40">
        <v>3.9249999999999998</v>
      </c>
      <c r="D553" s="40">
        <v>6336.04</v>
      </c>
      <c r="E553" s="40">
        <v>27246.5</v>
      </c>
      <c r="F553" s="40">
        <v>29</v>
      </c>
      <c r="G553" s="40">
        <v>67312000</v>
      </c>
      <c r="H553" s="40">
        <v>3.4136000000000002</v>
      </c>
      <c r="I553" s="40">
        <v>2.02</v>
      </c>
      <c r="J553" s="40">
        <v>4502.8100000000004</v>
      </c>
      <c r="K553" s="40">
        <v>29130.59</v>
      </c>
      <c r="L553" s="40">
        <v>19.600000000000001</v>
      </c>
      <c r="M553" s="40">
        <v>3072957</v>
      </c>
    </row>
    <row r="554" spans="1:13" x14ac:dyDescent="0.6">
      <c r="A554" s="41"/>
    </row>
    <row r="555" spans="1:13" x14ac:dyDescent="0.6">
      <c r="A555" s="41"/>
    </row>
    <row r="556" spans="1:13" x14ac:dyDescent="0.6">
      <c r="A556" s="41"/>
    </row>
    <row r="557" spans="1:13" x14ac:dyDescent="0.6">
      <c r="A557" s="41"/>
    </row>
    <row r="558" spans="1:13" x14ac:dyDescent="0.6">
      <c r="A558" s="41"/>
    </row>
    <row r="559" spans="1:13" x14ac:dyDescent="0.6">
      <c r="A559" s="41"/>
    </row>
    <row r="560" spans="1:13" x14ac:dyDescent="0.6">
      <c r="A560" s="41"/>
    </row>
    <row r="561" spans="1:1" x14ac:dyDescent="0.6">
      <c r="A561" s="41"/>
    </row>
    <row r="562" spans="1:1" x14ac:dyDescent="0.6">
      <c r="A562" s="41"/>
    </row>
    <row r="563" spans="1:1" x14ac:dyDescent="0.6">
      <c r="A563" s="41"/>
    </row>
    <row r="564" spans="1:1" x14ac:dyDescent="0.6">
      <c r="A564" s="41"/>
    </row>
    <row r="565" spans="1:1" x14ac:dyDescent="0.6">
      <c r="A565" s="41"/>
    </row>
    <row r="566" spans="1:1" x14ac:dyDescent="0.6">
      <c r="A566" s="41"/>
    </row>
    <row r="567" spans="1:1" x14ac:dyDescent="0.6">
      <c r="A567" s="41"/>
    </row>
    <row r="568" spans="1:1" x14ac:dyDescent="0.6">
      <c r="A568" s="41"/>
    </row>
    <row r="569" spans="1:1" x14ac:dyDescent="0.6">
      <c r="A569" s="41"/>
    </row>
    <row r="570" spans="1:1" x14ac:dyDescent="0.6">
      <c r="A570" s="41"/>
    </row>
    <row r="571" spans="1:1" x14ac:dyDescent="0.6">
      <c r="A571" s="41"/>
    </row>
    <row r="572" spans="1:1" x14ac:dyDescent="0.6">
      <c r="A572" s="41"/>
    </row>
    <row r="573" spans="1:1" x14ac:dyDescent="0.6">
      <c r="A573" s="41"/>
    </row>
    <row r="574" spans="1:1" x14ac:dyDescent="0.6">
      <c r="A574" s="41"/>
    </row>
    <row r="575" spans="1:1" x14ac:dyDescent="0.6">
      <c r="A575" s="41"/>
    </row>
    <row r="576" spans="1:1" x14ac:dyDescent="0.6">
      <c r="A576" s="41"/>
    </row>
    <row r="577" spans="1:1" x14ac:dyDescent="0.6">
      <c r="A577" s="41"/>
    </row>
    <row r="578" spans="1:1" x14ac:dyDescent="0.6">
      <c r="A578" s="41"/>
    </row>
    <row r="579" spans="1:1" x14ac:dyDescent="0.6">
      <c r="A579" s="41"/>
    </row>
    <row r="580" spans="1:1" x14ac:dyDescent="0.6">
      <c r="A580" s="41"/>
    </row>
    <row r="581" spans="1:1" x14ac:dyDescent="0.6">
      <c r="A581" s="41"/>
    </row>
    <row r="582" spans="1:1" x14ac:dyDescent="0.6">
      <c r="A582" s="41"/>
    </row>
    <row r="583" spans="1:1" x14ac:dyDescent="0.6">
      <c r="A583" s="41"/>
    </row>
    <row r="584" spans="1:1" x14ac:dyDescent="0.6">
      <c r="A584" s="41"/>
    </row>
    <row r="585" spans="1:1" x14ac:dyDescent="0.6">
      <c r="A585" s="41"/>
    </row>
    <row r="586" spans="1:1" x14ac:dyDescent="0.6">
      <c r="A586" s="41"/>
    </row>
    <row r="587" spans="1:1" x14ac:dyDescent="0.6">
      <c r="A587" s="41"/>
    </row>
    <row r="588" spans="1:1" x14ac:dyDescent="0.6">
      <c r="A588" s="41"/>
    </row>
    <row r="589" spans="1:1" x14ac:dyDescent="0.6">
      <c r="A589" s="41"/>
    </row>
    <row r="590" spans="1:1" x14ac:dyDescent="0.6">
      <c r="A590" s="41"/>
    </row>
    <row r="591" spans="1:1" x14ac:dyDescent="0.6">
      <c r="A591" s="41"/>
    </row>
    <row r="592" spans="1:1" x14ac:dyDescent="0.6">
      <c r="A592" s="41"/>
    </row>
    <row r="593" spans="1:1" x14ac:dyDescent="0.6">
      <c r="A593" s="41"/>
    </row>
    <row r="594" spans="1:1" x14ac:dyDescent="0.6">
      <c r="A594" s="41"/>
    </row>
    <row r="595" spans="1:1" x14ac:dyDescent="0.6">
      <c r="A595" s="41"/>
    </row>
    <row r="596" spans="1:1" x14ac:dyDescent="0.6">
      <c r="A596" s="41"/>
    </row>
    <row r="597" spans="1:1" x14ac:dyDescent="0.6">
      <c r="A597" s="41"/>
    </row>
    <row r="598" spans="1:1" x14ac:dyDescent="0.6">
      <c r="A598" s="41"/>
    </row>
    <row r="599" spans="1:1" x14ac:dyDescent="0.6">
      <c r="A599" s="41"/>
    </row>
    <row r="600" spans="1:1" x14ac:dyDescent="0.6">
      <c r="A600" s="41"/>
    </row>
    <row r="601" spans="1:1" x14ac:dyDescent="0.6">
      <c r="A601" s="41"/>
    </row>
    <row r="602" spans="1:1" x14ac:dyDescent="0.6">
      <c r="A602" s="41"/>
    </row>
    <row r="603" spans="1:1" x14ac:dyDescent="0.6">
      <c r="A603" s="41"/>
    </row>
    <row r="604" spans="1:1" x14ac:dyDescent="0.6">
      <c r="A604" s="41"/>
    </row>
    <row r="605" spans="1:1" x14ac:dyDescent="0.6">
      <c r="A605" s="41"/>
    </row>
    <row r="606" spans="1:1" x14ac:dyDescent="0.6">
      <c r="A606" s="41"/>
    </row>
    <row r="607" spans="1:1" x14ac:dyDescent="0.6">
      <c r="A607" s="41"/>
    </row>
    <row r="608" spans="1:1" x14ac:dyDescent="0.6">
      <c r="A608" s="41"/>
    </row>
    <row r="609" spans="1:1" x14ac:dyDescent="0.6">
      <c r="A609" s="41"/>
    </row>
    <row r="610" spans="1:1" x14ac:dyDescent="0.6">
      <c r="A610" s="41"/>
    </row>
    <row r="611" spans="1:1" x14ac:dyDescent="0.6">
      <c r="A611" s="41"/>
    </row>
    <row r="612" spans="1:1" x14ac:dyDescent="0.6">
      <c r="A612" s="41"/>
    </row>
    <row r="613" spans="1:1" x14ac:dyDescent="0.6">
      <c r="A613" s="41"/>
    </row>
    <row r="614" spans="1:1" x14ac:dyDescent="0.6">
      <c r="A614" s="41"/>
    </row>
    <row r="615" spans="1:1" x14ac:dyDescent="0.6">
      <c r="A615" s="41"/>
    </row>
    <row r="616" spans="1:1" x14ac:dyDescent="0.6">
      <c r="A616" s="41"/>
    </row>
    <row r="617" spans="1:1" x14ac:dyDescent="0.6">
      <c r="A617" s="41"/>
    </row>
    <row r="618" spans="1:1" x14ac:dyDescent="0.6">
      <c r="A618" s="41"/>
    </row>
    <row r="619" spans="1:1" x14ac:dyDescent="0.6">
      <c r="A619" s="41"/>
    </row>
    <row r="620" spans="1:1" x14ac:dyDescent="0.6">
      <c r="A620" s="41"/>
    </row>
    <row r="621" spans="1:1" x14ac:dyDescent="0.6">
      <c r="A621" s="41"/>
    </row>
    <row r="622" spans="1:1" x14ac:dyDescent="0.6">
      <c r="A622" s="41"/>
    </row>
    <row r="623" spans="1:1" x14ac:dyDescent="0.6">
      <c r="A623" s="41"/>
    </row>
    <row r="624" spans="1:1" x14ac:dyDescent="0.6">
      <c r="A624" s="41"/>
    </row>
    <row r="625" spans="1:1" x14ac:dyDescent="0.6">
      <c r="A625" s="41"/>
    </row>
    <row r="626" spans="1:1" x14ac:dyDescent="0.6">
      <c r="A626" s="41"/>
    </row>
    <row r="627" spans="1:1" x14ac:dyDescent="0.6">
      <c r="A627" s="41"/>
    </row>
    <row r="628" spans="1:1" x14ac:dyDescent="0.6">
      <c r="A628" s="41"/>
    </row>
    <row r="629" spans="1:1" x14ac:dyDescent="0.6">
      <c r="A629" s="41"/>
    </row>
    <row r="630" spans="1:1" x14ac:dyDescent="0.6">
      <c r="A630" s="41"/>
    </row>
    <row r="631" spans="1:1" x14ac:dyDescent="0.6">
      <c r="A631" s="41"/>
    </row>
    <row r="632" spans="1:1" x14ac:dyDescent="0.6">
      <c r="A632" s="41"/>
    </row>
    <row r="633" spans="1:1" x14ac:dyDescent="0.6">
      <c r="A633" s="41"/>
    </row>
    <row r="634" spans="1:1" x14ac:dyDescent="0.6">
      <c r="A634" s="41"/>
    </row>
    <row r="635" spans="1:1" x14ac:dyDescent="0.6">
      <c r="A635" s="41"/>
    </row>
    <row r="636" spans="1:1" x14ac:dyDescent="0.6">
      <c r="A636" s="41"/>
    </row>
    <row r="637" spans="1:1" x14ac:dyDescent="0.6">
      <c r="A637" s="41"/>
    </row>
    <row r="638" spans="1:1" x14ac:dyDescent="0.6">
      <c r="A638" s="41"/>
    </row>
    <row r="639" spans="1:1" x14ac:dyDescent="0.6">
      <c r="A639" s="41"/>
    </row>
    <row r="640" spans="1:1" x14ac:dyDescent="0.6">
      <c r="A640" s="41"/>
    </row>
    <row r="641" spans="1:1" x14ac:dyDescent="0.6">
      <c r="A641" s="41"/>
    </row>
    <row r="642" spans="1:1" x14ac:dyDescent="0.6">
      <c r="A642" s="41"/>
    </row>
    <row r="643" spans="1:1" x14ac:dyDescent="0.6">
      <c r="A643" s="41"/>
    </row>
    <row r="644" spans="1:1" x14ac:dyDescent="0.6">
      <c r="A644" s="41"/>
    </row>
    <row r="645" spans="1:1" x14ac:dyDescent="0.6">
      <c r="A645" s="41"/>
    </row>
    <row r="646" spans="1:1" x14ac:dyDescent="0.6">
      <c r="A646" s="41"/>
    </row>
    <row r="647" spans="1:1" x14ac:dyDescent="0.6">
      <c r="A647" s="41"/>
    </row>
    <row r="648" spans="1:1" x14ac:dyDescent="0.6">
      <c r="A648" s="41"/>
    </row>
    <row r="649" spans="1:1" x14ac:dyDescent="0.6">
      <c r="A649" s="41"/>
    </row>
    <row r="650" spans="1:1" x14ac:dyDescent="0.6">
      <c r="A650" s="41"/>
    </row>
    <row r="651" spans="1:1" x14ac:dyDescent="0.6">
      <c r="A651" s="41"/>
    </row>
    <row r="652" spans="1:1" x14ac:dyDescent="0.6">
      <c r="A652" s="41"/>
    </row>
    <row r="653" spans="1:1" x14ac:dyDescent="0.6">
      <c r="A653" s="41"/>
    </row>
    <row r="654" spans="1:1" x14ac:dyDescent="0.6">
      <c r="A654" s="41"/>
    </row>
    <row r="655" spans="1:1" x14ac:dyDescent="0.6">
      <c r="A655" s="41"/>
    </row>
    <row r="656" spans="1:1" x14ac:dyDescent="0.6">
      <c r="A656" s="41"/>
    </row>
    <row r="657" spans="1:1" x14ac:dyDescent="0.6">
      <c r="A657" s="41"/>
    </row>
    <row r="658" spans="1:1" x14ac:dyDescent="0.6">
      <c r="A658" s="41"/>
    </row>
    <row r="659" spans="1:1" x14ac:dyDescent="0.6">
      <c r="A659" s="41"/>
    </row>
    <row r="660" spans="1:1" x14ac:dyDescent="0.6">
      <c r="A660" s="41"/>
    </row>
    <row r="661" spans="1:1" x14ac:dyDescent="0.6">
      <c r="A661" s="41"/>
    </row>
    <row r="662" spans="1:1" x14ac:dyDescent="0.6">
      <c r="A662" s="41"/>
    </row>
    <row r="663" spans="1:1" x14ac:dyDescent="0.6">
      <c r="A663" s="41"/>
    </row>
    <row r="664" spans="1:1" x14ac:dyDescent="0.6">
      <c r="A664" s="41"/>
    </row>
    <row r="665" spans="1:1" x14ac:dyDescent="0.6">
      <c r="A665" s="41"/>
    </row>
    <row r="666" spans="1:1" x14ac:dyDescent="0.6">
      <c r="A666" s="41"/>
    </row>
    <row r="667" spans="1:1" x14ac:dyDescent="0.6">
      <c r="A667" s="41"/>
    </row>
    <row r="668" spans="1:1" x14ac:dyDescent="0.6">
      <c r="A668" s="41"/>
    </row>
    <row r="669" spans="1:1" x14ac:dyDescent="0.6">
      <c r="A669" s="41"/>
    </row>
    <row r="670" spans="1:1" x14ac:dyDescent="0.6">
      <c r="A670" s="41"/>
    </row>
    <row r="671" spans="1:1" x14ac:dyDescent="0.6">
      <c r="A671" s="41"/>
    </row>
    <row r="672" spans="1:1" x14ac:dyDescent="0.6">
      <c r="A672" s="41"/>
    </row>
    <row r="673" spans="1:1" x14ac:dyDescent="0.6">
      <c r="A673" s="41"/>
    </row>
    <row r="674" spans="1:1" x14ac:dyDescent="0.6">
      <c r="A674" s="41"/>
    </row>
    <row r="675" spans="1:1" x14ac:dyDescent="0.6">
      <c r="A675" s="41"/>
    </row>
    <row r="676" spans="1:1" x14ac:dyDescent="0.6">
      <c r="A676" s="41"/>
    </row>
    <row r="677" spans="1:1" x14ac:dyDescent="0.6">
      <c r="A677" s="41"/>
    </row>
    <row r="678" spans="1:1" x14ac:dyDescent="0.6">
      <c r="A678" s="41"/>
    </row>
    <row r="679" spans="1:1" x14ac:dyDescent="0.6">
      <c r="A679" s="41"/>
    </row>
    <row r="680" spans="1:1" x14ac:dyDescent="0.6">
      <c r="A680" s="41"/>
    </row>
    <row r="681" spans="1:1" x14ac:dyDescent="0.6">
      <c r="A681" s="41"/>
    </row>
    <row r="682" spans="1:1" x14ac:dyDescent="0.6">
      <c r="A682" s="41"/>
    </row>
    <row r="683" spans="1:1" x14ac:dyDescent="0.6">
      <c r="A683" s="41"/>
    </row>
    <row r="684" spans="1:1" x14ac:dyDescent="0.6">
      <c r="A684" s="41"/>
    </row>
    <row r="685" spans="1:1" x14ac:dyDescent="0.6">
      <c r="A685" s="41"/>
    </row>
    <row r="686" spans="1:1" x14ac:dyDescent="0.6">
      <c r="A686" s="41"/>
    </row>
    <row r="687" spans="1:1" x14ac:dyDescent="0.6">
      <c r="A687" s="41"/>
    </row>
    <row r="688" spans="1:1" x14ac:dyDescent="0.6">
      <c r="A688" s="41"/>
    </row>
    <row r="689" spans="1:1" x14ac:dyDescent="0.6">
      <c r="A689" s="41"/>
    </row>
    <row r="690" spans="1:1" x14ac:dyDescent="0.6">
      <c r="A690" s="41"/>
    </row>
    <row r="691" spans="1:1" x14ac:dyDescent="0.6">
      <c r="A691" s="41"/>
    </row>
    <row r="692" spans="1:1" x14ac:dyDescent="0.6">
      <c r="A692" s="41"/>
    </row>
    <row r="693" spans="1:1" x14ac:dyDescent="0.6">
      <c r="A693" s="41"/>
    </row>
    <row r="694" spans="1:1" x14ac:dyDescent="0.6">
      <c r="A694" s="41"/>
    </row>
    <row r="695" spans="1:1" x14ac:dyDescent="0.6">
      <c r="A695" s="41"/>
    </row>
    <row r="696" spans="1:1" x14ac:dyDescent="0.6">
      <c r="A696" s="41"/>
    </row>
    <row r="697" spans="1:1" x14ac:dyDescent="0.6">
      <c r="A697" s="41"/>
    </row>
    <row r="698" spans="1:1" x14ac:dyDescent="0.6">
      <c r="A698" s="41"/>
    </row>
    <row r="699" spans="1:1" x14ac:dyDescent="0.6">
      <c r="A699" s="41"/>
    </row>
    <row r="700" spans="1:1" x14ac:dyDescent="0.6">
      <c r="A700" s="41"/>
    </row>
    <row r="701" spans="1:1" x14ac:dyDescent="0.6">
      <c r="A701" s="41"/>
    </row>
    <row r="702" spans="1:1" x14ac:dyDescent="0.6">
      <c r="A702" s="41"/>
    </row>
    <row r="703" spans="1:1" x14ac:dyDescent="0.6">
      <c r="A703" s="41"/>
    </row>
    <row r="704" spans="1:1" x14ac:dyDescent="0.6">
      <c r="A704" s="41"/>
    </row>
    <row r="705" spans="1:1" x14ac:dyDescent="0.6">
      <c r="A705" s="41"/>
    </row>
    <row r="706" spans="1:1" x14ac:dyDescent="0.6">
      <c r="A706" s="41"/>
    </row>
    <row r="707" spans="1:1" x14ac:dyDescent="0.6">
      <c r="A707" s="41"/>
    </row>
    <row r="708" spans="1:1" x14ac:dyDescent="0.6">
      <c r="A708" s="41"/>
    </row>
    <row r="709" spans="1:1" x14ac:dyDescent="0.6">
      <c r="A709" s="41"/>
    </row>
    <row r="710" spans="1:1" x14ac:dyDescent="0.6">
      <c r="A710" s="41"/>
    </row>
    <row r="711" spans="1:1" x14ac:dyDescent="0.6">
      <c r="A711" s="41"/>
    </row>
    <row r="712" spans="1:1" x14ac:dyDescent="0.6">
      <c r="A712" s="41"/>
    </row>
    <row r="713" spans="1:1" x14ac:dyDescent="0.6">
      <c r="A713" s="41"/>
    </row>
    <row r="714" spans="1:1" x14ac:dyDescent="0.6">
      <c r="A714" s="41"/>
    </row>
    <row r="715" spans="1:1" x14ac:dyDescent="0.6">
      <c r="A715" s="41"/>
    </row>
    <row r="716" spans="1:1" x14ac:dyDescent="0.6">
      <c r="A716" s="41"/>
    </row>
    <row r="717" spans="1:1" x14ac:dyDescent="0.6">
      <c r="A717" s="41"/>
    </row>
    <row r="718" spans="1:1" x14ac:dyDescent="0.6">
      <c r="A718" s="41"/>
    </row>
    <row r="719" spans="1:1" x14ac:dyDescent="0.6">
      <c r="A719" s="41"/>
    </row>
    <row r="720" spans="1:1" x14ac:dyDescent="0.6">
      <c r="A720" s="41"/>
    </row>
    <row r="721" spans="1:1" x14ac:dyDescent="0.6">
      <c r="A721" s="41"/>
    </row>
    <row r="722" spans="1:1" x14ac:dyDescent="0.6">
      <c r="A722" s="41"/>
    </row>
    <row r="723" spans="1:1" x14ac:dyDescent="0.6">
      <c r="A723" s="41"/>
    </row>
    <row r="724" spans="1:1" x14ac:dyDescent="0.6">
      <c r="A724" s="41"/>
    </row>
    <row r="725" spans="1:1" x14ac:dyDescent="0.6">
      <c r="A725" s="41"/>
    </row>
    <row r="726" spans="1:1" x14ac:dyDescent="0.6">
      <c r="A726" s="41"/>
    </row>
    <row r="727" spans="1:1" x14ac:dyDescent="0.6">
      <c r="A727" s="41"/>
    </row>
    <row r="728" spans="1:1" x14ac:dyDescent="0.6">
      <c r="A728" s="41"/>
    </row>
    <row r="729" spans="1:1" x14ac:dyDescent="0.6">
      <c r="A729" s="41"/>
    </row>
    <row r="730" spans="1:1" x14ac:dyDescent="0.6">
      <c r="A730" s="41"/>
    </row>
    <row r="731" spans="1:1" x14ac:dyDescent="0.6">
      <c r="A731" s="41"/>
    </row>
    <row r="732" spans="1:1" x14ac:dyDescent="0.6">
      <c r="A732" s="41"/>
    </row>
    <row r="733" spans="1:1" x14ac:dyDescent="0.6">
      <c r="A733" s="41"/>
    </row>
    <row r="734" spans="1:1" x14ac:dyDescent="0.6">
      <c r="A734" s="41"/>
    </row>
    <row r="735" spans="1:1" x14ac:dyDescent="0.6">
      <c r="A735" s="41"/>
    </row>
    <row r="736" spans="1:1" x14ac:dyDescent="0.6">
      <c r="A736" s="41"/>
    </row>
    <row r="737" spans="1:1" x14ac:dyDescent="0.6">
      <c r="A737" s="41"/>
    </row>
    <row r="738" spans="1:1" x14ac:dyDescent="0.6">
      <c r="A738" s="41"/>
    </row>
    <row r="739" spans="1:1" x14ac:dyDescent="0.6">
      <c r="A739" s="41"/>
    </row>
    <row r="740" spans="1:1" x14ac:dyDescent="0.6">
      <c r="A740" s="41"/>
    </row>
    <row r="741" spans="1:1" x14ac:dyDescent="0.6">
      <c r="A741" s="41"/>
    </row>
    <row r="742" spans="1:1" x14ac:dyDescent="0.6">
      <c r="A742" s="41"/>
    </row>
    <row r="743" spans="1:1" x14ac:dyDescent="0.6">
      <c r="A743" s="41"/>
    </row>
    <row r="744" spans="1:1" x14ac:dyDescent="0.6">
      <c r="A744" s="41"/>
    </row>
    <row r="745" spans="1:1" x14ac:dyDescent="0.6">
      <c r="A745" s="41"/>
    </row>
    <row r="746" spans="1:1" x14ac:dyDescent="0.6">
      <c r="A746" s="41"/>
    </row>
    <row r="747" spans="1:1" x14ac:dyDescent="0.6">
      <c r="A747" s="41"/>
    </row>
    <row r="748" spans="1:1" x14ac:dyDescent="0.6">
      <c r="A748" s="41"/>
    </row>
    <row r="749" spans="1:1" x14ac:dyDescent="0.6">
      <c r="A749" s="41"/>
    </row>
    <row r="750" spans="1:1" x14ac:dyDescent="0.6">
      <c r="A750" s="41"/>
    </row>
    <row r="751" spans="1:1" x14ac:dyDescent="0.6">
      <c r="A751" s="41"/>
    </row>
    <row r="752" spans="1:1" x14ac:dyDescent="0.6">
      <c r="A752" s="41"/>
    </row>
    <row r="753" spans="1:1" x14ac:dyDescent="0.6">
      <c r="A753" s="41"/>
    </row>
    <row r="754" spans="1:1" x14ac:dyDescent="0.6">
      <c r="A754" s="41"/>
    </row>
    <row r="755" spans="1:1" x14ac:dyDescent="0.6">
      <c r="A755" s="41"/>
    </row>
    <row r="756" spans="1:1" x14ac:dyDescent="0.6">
      <c r="A756" s="41"/>
    </row>
    <row r="757" spans="1:1" x14ac:dyDescent="0.6">
      <c r="A757" s="41"/>
    </row>
    <row r="758" spans="1:1" x14ac:dyDescent="0.6">
      <c r="A758" s="41"/>
    </row>
    <row r="759" spans="1:1" x14ac:dyDescent="0.6">
      <c r="A759" s="41"/>
    </row>
    <row r="760" spans="1:1" x14ac:dyDescent="0.6">
      <c r="A760" s="41"/>
    </row>
    <row r="761" spans="1:1" x14ac:dyDescent="0.6">
      <c r="A761" s="41"/>
    </row>
    <row r="762" spans="1:1" x14ac:dyDescent="0.6">
      <c r="A762" s="41"/>
    </row>
    <row r="763" spans="1:1" x14ac:dyDescent="0.6">
      <c r="A763" s="41"/>
    </row>
    <row r="764" spans="1:1" x14ac:dyDescent="0.6">
      <c r="A764" s="41"/>
    </row>
    <row r="765" spans="1:1" x14ac:dyDescent="0.6">
      <c r="A765" s="41"/>
    </row>
    <row r="766" spans="1:1" x14ac:dyDescent="0.6">
      <c r="A766" s="41"/>
    </row>
    <row r="767" spans="1:1" x14ac:dyDescent="0.6">
      <c r="A767" s="41"/>
    </row>
    <row r="768" spans="1:1" x14ac:dyDescent="0.6">
      <c r="A768" s="41"/>
    </row>
    <row r="769" spans="1:1" x14ac:dyDescent="0.6">
      <c r="A769" s="41"/>
    </row>
    <row r="770" spans="1:1" x14ac:dyDescent="0.6">
      <c r="A770" s="41"/>
    </row>
    <row r="771" spans="1:1" x14ac:dyDescent="0.6">
      <c r="A771" s="41"/>
    </row>
    <row r="772" spans="1:1" x14ac:dyDescent="0.6">
      <c r="A772" s="41"/>
    </row>
    <row r="773" spans="1:1" x14ac:dyDescent="0.6">
      <c r="A773" s="41"/>
    </row>
    <row r="774" spans="1:1" x14ac:dyDescent="0.6">
      <c r="A774" s="41"/>
    </row>
    <row r="775" spans="1:1" x14ac:dyDescent="0.6">
      <c r="A775" s="41"/>
    </row>
    <row r="776" spans="1:1" x14ac:dyDescent="0.6">
      <c r="A776" s="41"/>
    </row>
    <row r="777" spans="1:1" x14ac:dyDescent="0.6">
      <c r="A777" s="41"/>
    </row>
    <row r="778" spans="1:1" x14ac:dyDescent="0.6">
      <c r="A778" s="41"/>
    </row>
    <row r="779" spans="1:1" x14ac:dyDescent="0.6">
      <c r="A779" s="41"/>
    </row>
    <row r="780" spans="1:1" x14ac:dyDescent="0.6">
      <c r="A780" s="41"/>
    </row>
    <row r="781" spans="1:1" x14ac:dyDescent="0.6">
      <c r="A781" s="41"/>
    </row>
    <row r="782" spans="1:1" x14ac:dyDescent="0.6">
      <c r="A782" s="41"/>
    </row>
    <row r="783" spans="1:1" x14ac:dyDescent="0.6">
      <c r="A783" s="41"/>
    </row>
    <row r="784" spans="1:1" x14ac:dyDescent="0.6">
      <c r="A784" s="41"/>
    </row>
    <row r="785" spans="1:1" x14ac:dyDescent="0.6">
      <c r="A785" s="41"/>
    </row>
    <row r="786" spans="1:1" x14ac:dyDescent="0.6">
      <c r="A786" s="41"/>
    </row>
    <row r="787" spans="1:1" x14ac:dyDescent="0.6">
      <c r="A787" s="41"/>
    </row>
    <row r="788" spans="1:1" x14ac:dyDescent="0.6">
      <c r="A788" s="41"/>
    </row>
    <row r="789" spans="1:1" x14ac:dyDescent="0.6">
      <c r="A789" s="41"/>
    </row>
    <row r="790" spans="1:1" x14ac:dyDescent="0.6">
      <c r="A790" s="41"/>
    </row>
    <row r="791" spans="1:1" x14ac:dyDescent="0.6">
      <c r="A791" s="41"/>
    </row>
    <row r="792" spans="1:1" x14ac:dyDescent="0.6">
      <c r="A792" s="41"/>
    </row>
    <row r="793" spans="1:1" x14ac:dyDescent="0.6">
      <c r="A793" s="41"/>
    </row>
    <row r="794" spans="1:1" x14ac:dyDescent="0.6">
      <c r="A794" s="41"/>
    </row>
    <row r="795" spans="1:1" x14ac:dyDescent="0.6">
      <c r="A795" s="41"/>
    </row>
    <row r="796" spans="1:1" x14ac:dyDescent="0.6">
      <c r="A796" s="41"/>
    </row>
    <row r="797" spans="1:1" x14ac:dyDescent="0.6">
      <c r="A797" s="41"/>
    </row>
    <row r="798" spans="1:1" x14ac:dyDescent="0.6">
      <c r="A798" s="41"/>
    </row>
    <row r="799" spans="1:1" x14ac:dyDescent="0.6">
      <c r="A799" s="41"/>
    </row>
    <row r="800" spans="1:1" x14ac:dyDescent="0.6">
      <c r="A800" s="41"/>
    </row>
    <row r="801" spans="1:1" x14ac:dyDescent="0.6">
      <c r="A801" s="41"/>
    </row>
    <row r="802" spans="1:1" x14ac:dyDescent="0.6">
      <c r="A802" s="41"/>
    </row>
    <row r="803" spans="1:1" x14ac:dyDescent="0.6">
      <c r="A803" s="41"/>
    </row>
    <row r="804" spans="1:1" x14ac:dyDescent="0.6">
      <c r="A804" s="41"/>
    </row>
    <row r="805" spans="1:1" x14ac:dyDescent="0.6">
      <c r="A805" s="41"/>
    </row>
    <row r="806" spans="1:1" x14ac:dyDescent="0.6">
      <c r="A806" s="41"/>
    </row>
    <row r="807" spans="1:1" x14ac:dyDescent="0.6">
      <c r="A807" s="41"/>
    </row>
    <row r="808" spans="1:1" x14ac:dyDescent="0.6">
      <c r="A808" s="41"/>
    </row>
    <row r="809" spans="1:1" x14ac:dyDescent="0.6">
      <c r="A809" s="41"/>
    </row>
    <row r="810" spans="1:1" x14ac:dyDescent="0.6">
      <c r="A810" s="41"/>
    </row>
    <row r="811" spans="1:1" x14ac:dyDescent="0.6">
      <c r="A811" s="41"/>
    </row>
    <row r="812" spans="1:1" x14ac:dyDescent="0.6">
      <c r="A812" s="41"/>
    </row>
    <row r="813" spans="1:1" x14ac:dyDescent="0.6">
      <c r="A813" s="41"/>
    </row>
    <row r="814" spans="1:1" x14ac:dyDescent="0.6">
      <c r="A814" s="41"/>
    </row>
    <row r="815" spans="1:1" x14ac:dyDescent="0.6">
      <c r="A815" s="41"/>
    </row>
    <row r="816" spans="1:1" x14ac:dyDescent="0.6">
      <c r="A816" s="41"/>
    </row>
    <row r="817" spans="1:1" x14ac:dyDescent="0.6">
      <c r="A817" s="41"/>
    </row>
    <row r="818" spans="1:1" x14ac:dyDescent="0.6">
      <c r="A818" s="41"/>
    </row>
    <row r="819" spans="1:1" x14ac:dyDescent="0.6">
      <c r="A819" s="41"/>
    </row>
    <row r="820" spans="1:1" x14ac:dyDescent="0.6">
      <c r="A820" s="41"/>
    </row>
    <row r="821" spans="1:1" x14ac:dyDescent="0.6">
      <c r="A821" s="41"/>
    </row>
    <row r="822" spans="1:1" x14ac:dyDescent="0.6">
      <c r="A822" s="41"/>
    </row>
    <row r="823" spans="1:1" x14ac:dyDescent="0.6">
      <c r="A823" s="41"/>
    </row>
    <row r="824" spans="1:1" x14ac:dyDescent="0.6">
      <c r="A824" s="41"/>
    </row>
    <row r="825" spans="1:1" x14ac:dyDescent="0.6">
      <c r="A825" s="41"/>
    </row>
    <row r="826" spans="1:1" x14ac:dyDescent="0.6">
      <c r="A826" s="41"/>
    </row>
    <row r="827" spans="1:1" x14ac:dyDescent="0.6">
      <c r="A827" s="41"/>
    </row>
    <row r="828" spans="1:1" x14ac:dyDescent="0.6">
      <c r="A828" s="41"/>
    </row>
    <row r="829" spans="1:1" x14ac:dyDescent="0.6">
      <c r="A829" s="41"/>
    </row>
    <row r="830" spans="1:1" x14ac:dyDescent="0.6">
      <c r="A830" s="41"/>
    </row>
    <row r="831" spans="1:1" x14ac:dyDescent="0.6">
      <c r="A831" s="41"/>
    </row>
    <row r="832" spans="1:1" x14ac:dyDescent="0.6">
      <c r="A832" s="41"/>
    </row>
    <row r="833" spans="1:1" x14ac:dyDescent="0.6">
      <c r="A833" s="41"/>
    </row>
    <row r="834" spans="1:1" x14ac:dyDescent="0.6">
      <c r="A834" s="41"/>
    </row>
    <row r="835" spans="1:1" x14ac:dyDescent="0.6">
      <c r="A835" s="41"/>
    </row>
    <row r="836" spans="1:1" x14ac:dyDescent="0.6">
      <c r="A836" s="41"/>
    </row>
    <row r="837" spans="1:1" x14ac:dyDescent="0.6">
      <c r="A837" s="41"/>
    </row>
    <row r="838" spans="1:1" x14ac:dyDescent="0.6">
      <c r="A838" s="41"/>
    </row>
    <row r="839" spans="1:1" x14ac:dyDescent="0.6">
      <c r="A839" s="41"/>
    </row>
    <row r="840" spans="1:1" x14ac:dyDescent="0.6">
      <c r="A840" s="41"/>
    </row>
    <row r="841" spans="1:1" x14ac:dyDescent="0.6">
      <c r="A841" s="41"/>
    </row>
    <row r="842" spans="1:1" x14ac:dyDescent="0.6">
      <c r="A842" s="41"/>
    </row>
    <row r="843" spans="1:1" x14ac:dyDescent="0.6">
      <c r="A843" s="41"/>
    </row>
    <row r="844" spans="1:1" x14ac:dyDescent="0.6">
      <c r="A844" s="41"/>
    </row>
    <row r="845" spans="1:1" x14ac:dyDescent="0.6">
      <c r="A845" s="41"/>
    </row>
    <row r="846" spans="1:1" x14ac:dyDescent="0.6">
      <c r="A846" s="41"/>
    </row>
    <row r="847" spans="1:1" x14ac:dyDescent="0.6">
      <c r="A847" s="41"/>
    </row>
    <row r="848" spans="1:1" x14ac:dyDescent="0.6">
      <c r="A848" s="41"/>
    </row>
    <row r="849" spans="1:1" x14ac:dyDescent="0.6">
      <c r="A849" s="41"/>
    </row>
    <row r="850" spans="1:1" x14ac:dyDescent="0.6">
      <c r="A850" s="41"/>
    </row>
    <row r="851" spans="1:1" x14ac:dyDescent="0.6">
      <c r="A851" s="41"/>
    </row>
    <row r="852" spans="1:1" x14ac:dyDescent="0.6">
      <c r="A852" s="41"/>
    </row>
    <row r="853" spans="1:1" x14ac:dyDescent="0.6">
      <c r="A853" s="41"/>
    </row>
    <row r="854" spans="1:1" x14ac:dyDescent="0.6">
      <c r="A854" s="41"/>
    </row>
    <row r="855" spans="1:1" x14ac:dyDescent="0.6">
      <c r="A855" s="41"/>
    </row>
    <row r="856" spans="1:1" x14ac:dyDescent="0.6">
      <c r="A856" s="41"/>
    </row>
    <row r="857" spans="1:1" x14ac:dyDescent="0.6">
      <c r="A857" s="41"/>
    </row>
    <row r="858" spans="1:1" x14ac:dyDescent="0.6">
      <c r="A858" s="41"/>
    </row>
    <row r="859" spans="1:1" x14ac:dyDescent="0.6">
      <c r="A859" s="41"/>
    </row>
    <row r="860" spans="1:1" x14ac:dyDescent="0.6">
      <c r="A860" s="41"/>
    </row>
    <row r="861" spans="1:1" x14ac:dyDescent="0.6">
      <c r="A861" s="41"/>
    </row>
    <row r="862" spans="1:1" x14ac:dyDescent="0.6">
      <c r="A862" s="41"/>
    </row>
    <row r="863" spans="1:1" x14ac:dyDescent="0.6">
      <c r="A863" s="41"/>
    </row>
    <row r="864" spans="1:1" x14ac:dyDescent="0.6">
      <c r="A864" s="41"/>
    </row>
    <row r="865" spans="1:1" x14ac:dyDescent="0.6">
      <c r="A865" s="41"/>
    </row>
    <row r="866" spans="1:1" x14ac:dyDescent="0.6">
      <c r="A866" s="41"/>
    </row>
    <row r="867" spans="1:1" x14ac:dyDescent="0.6">
      <c r="A867" s="41"/>
    </row>
    <row r="868" spans="1:1" x14ac:dyDescent="0.6">
      <c r="A868" s="41"/>
    </row>
    <row r="869" spans="1:1" x14ac:dyDescent="0.6">
      <c r="A869" s="41"/>
    </row>
    <row r="870" spans="1:1" x14ac:dyDescent="0.6">
      <c r="A870" s="41"/>
    </row>
    <row r="871" spans="1:1" x14ac:dyDescent="0.6">
      <c r="A871" s="41"/>
    </row>
    <row r="872" spans="1:1" x14ac:dyDescent="0.6">
      <c r="A872" s="41"/>
    </row>
    <row r="873" spans="1:1" x14ac:dyDescent="0.6">
      <c r="A873" s="41"/>
    </row>
    <row r="874" spans="1:1" x14ac:dyDescent="0.6">
      <c r="A874" s="41"/>
    </row>
    <row r="875" spans="1:1" x14ac:dyDescent="0.6">
      <c r="A875" s="41"/>
    </row>
    <row r="876" spans="1:1" x14ac:dyDescent="0.6">
      <c r="A876" s="41"/>
    </row>
    <row r="877" spans="1:1" x14ac:dyDescent="0.6">
      <c r="A877" s="41"/>
    </row>
    <row r="878" spans="1:1" x14ac:dyDescent="0.6">
      <c r="A878" s="41"/>
    </row>
    <row r="879" spans="1:1" x14ac:dyDescent="0.6">
      <c r="A879" s="41"/>
    </row>
    <row r="880" spans="1:1" x14ac:dyDescent="0.6">
      <c r="A880" s="41"/>
    </row>
    <row r="881" spans="1:1" x14ac:dyDescent="0.6">
      <c r="A881" s="41"/>
    </row>
    <row r="882" spans="1:1" x14ac:dyDescent="0.6">
      <c r="A882" s="41"/>
    </row>
    <row r="883" spans="1:1" x14ac:dyDescent="0.6">
      <c r="A883" s="41"/>
    </row>
    <row r="884" spans="1:1" x14ac:dyDescent="0.6">
      <c r="A884" s="41"/>
    </row>
    <row r="885" spans="1:1" x14ac:dyDescent="0.6">
      <c r="A885" s="41"/>
    </row>
    <row r="886" spans="1:1" x14ac:dyDescent="0.6">
      <c r="A886" s="41"/>
    </row>
    <row r="887" spans="1:1" x14ac:dyDescent="0.6">
      <c r="A887" s="41"/>
    </row>
    <row r="888" spans="1:1" x14ac:dyDescent="0.6">
      <c r="A888" s="41"/>
    </row>
    <row r="889" spans="1:1" x14ac:dyDescent="0.6">
      <c r="A889" s="41"/>
    </row>
    <row r="890" spans="1:1" x14ac:dyDescent="0.6">
      <c r="A890" s="41"/>
    </row>
    <row r="891" spans="1:1" x14ac:dyDescent="0.6">
      <c r="A891" s="41"/>
    </row>
    <row r="892" spans="1:1" x14ac:dyDescent="0.6">
      <c r="A892" s="41"/>
    </row>
    <row r="893" spans="1:1" x14ac:dyDescent="0.6">
      <c r="A893" s="41"/>
    </row>
    <row r="894" spans="1:1" x14ac:dyDescent="0.6">
      <c r="A894" s="41"/>
    </row>
    <row r="895" spans="1:1" x14ac:dyDescent="0.6">
      <c r="A895" s="41"/>
    </row>
    <row r="896" spans="1:1" x14ac:dyDescent="0.6">
      <c r="A896" s="41"/>
    </row>
    <row r="897" spans="1:1" x14ac:dyDescent="0.6">
      <c r="A897" s="41"/>
    </row>
    <row r="898" spans="1:1" x14ac:dyDescent="0.6">
      <c r="A898" s="41"/>
    </row>
    <row r="899" spans="1:1" x14ac:dyDescent="0.6">
      <c r="A899" s="41"/>
    </row>
    <row r="900" spans="1:1" x14ac:dyDescent="0.6">
      <c r="A900" s="41"/>
    </row>
    <row r="901" spans="1:1" x14ac:dyDescent="0.6">
      <c r="A901" s="41"/>
    </row>
    <row r="902" spans="1:1" x14ac:dyDescent="0.6">
      <c r="A902" s="41"/>
    </row>
    <row r="903" spans="1:1" x14ac:dyDescent="0.6">
      <c r="A903" s="41"/>
    </row>
    <row r="904" spans="1:1" x14ac:dyDescent="0.6">
      <c r="A904" s="41"/>
    </row>
    <row r="905" spans="1:1" x14ac:dyDescent="0.6">
      <c r="A905" s="41"/>
    </row>
    <row r="906" spans="1:1" x14ac:dyDescent="0.6">
      <c r="A906" s="41"/>
    </row>
    <row r="907" spans="1:1" x14ac:dyDescent="0.6">
      <c r="A907" s="41"/>
    </row>
    <row r="908" spans="1:1" x14ac:dyDescent="0.6">
      <c r="A908" s="41"/>
    </row>
    <row r="909" spans="1:1" x14ac:dyDescent="0.6">
      <c r="A909" s="41"/>
    </row>
    <row r="910" spans="1:1" x14ac:dyDescent="0.6">
      <c r="A910" s="41"/>
    </row>
    <row r="911" spans="1:1" x14ac:dyDescent="0.6">
      <c r="A911" s="41"/>
    </row>
    <row r="912" spans="1:1" x14ac:dyDescent="0.6">
      <c r="A912" s="41"/>
    </row>
    <row r="913" spans="1:1" x14ac:dyDescent="0.6">
      <c r="A913" s="41"/>
    </row>
    <row r="914" spans="1:1" x14ac:dyDescent="0.6">
      <c r="A914" s="41"/>
    </row>
    <row r="915" spans="1:1" x14ac:dyDescent="0.6">
      <c r="A915" s="41"/>
    </row>
    <row r="916" spans="1:1" x14ac:dyDescent="0.6">
      <c r="A916" s="41"/>
    </row>
    <row r="917" spans="1:1" x14ac:dyDescent="0.6">
      <c r="A917" s="41"/>
    </row>
    <row r="918" spans="1:1" x14ac:dyDescent="0.6">
      <c r="A918" s="41"/>
    </row>
    <row r="919" spans="1:1" x14ac:dyDescent="0.6">
      <c r="A919" s="41"/>
    </row>
    <row r="920" spans="1:1" x14ac:dyDescent="0.6">
      <c r="A920" s="41"/>
    </row>
    <row r="921" spans="1:1" x14ac:dyDescent="0.6">
      <c r="A921" s="41"/>
    </row>
    <row r="922" spans="1:1" x14ac:dyDescent="0.6">
      <c r="A922" s="41"/>
    </row>
    <row r="923" spans="1:1" x14ac:dyDescent="0.6">
      <c r="A923" s="41"/>
    </row>
    <row r="924" spans="1:1" x14ac:dyDescent="0.6">
      <c r="A924" s="41"/>
    </row>
    <row r="925" spans="1:1" x14ac:dyDescent="0.6">
      <c r="A925" s="41"/>
    </row>
    <row r="926" spans="1:1" x14ac:dyDescent="0.6">
      <c r="A926" s="41"/>
    </row>
    <row r="927" spans="1:1" x14ac:dyDescent="0.6">
      <c r="A927" s="41"/>
    </row>
    <row r="928" spans="1:1" x14ac:dyDescent="0.6">
      <c r="A928" s="41"/>
    </row>
    <row r="929" spans="1:1" x14ac:dyDescent="0.6">
      <c r="A929" s="41"/>
    </row>
    <row r="930" spans="1:1" x14ac:dyDescent="0.6">
      <c r="A930" s="41"/>
    </row>
    <row r="931" spans="1:1" x14ac:dyDescent="0.6">
      <c r="A931" s="41"/>
    </row>
    <row r="932" spans="1:1" x14ac:dyDescent="0.6">
      <c r="A932" s="41"/>
    </row>
    <row r="933" spans="1:1" x14ac:dyDescent="0.6">
      <c r="A933" s="41"/>
    </row>
    <row r="934" spans="1:1" x14ac:dyDescent="0.6">
      <c r="A934" s="41"/>
    </row>
    <row r="935" spans="1:1" x14ac:dyDescent="0.6">
      <c r="A935" s="41"/>
    </row>
    <row r="936" spans="1:1" x14ac:dyDescent="0.6">
      <c r="A936" s="41"/>
    </row>
    <row r="937" spans="1:1" x14ac:dyDescent="0.6">
      <c r="A937" s="41"/>
    </row>
    <row r="938" spans="1:1" x14ac:dyDescent="0.6">
      <c r="A938" s="41"/>
    </row>
    <row r="939" spans="1:1" x14ac:dyDescent="0.6">
      <c r="A939" s="41"/>
    </row>
    <row r="940" spans="1:1" x14ac:dyDescent="0.6">
      <c r="A940" s="41"/>
    </row>
    <row r="941" spans="1:1" x14ac:dyDescent="0.6">
      <c r="A941" s="41"/>
    </row>
    <row r="942" spans="1:1" x14ac:dyDescent="0.6">
      <c r="A942" s="41"/>
    </row>
    <row r="943" spans="1:1" x14ac:dyDescent="0.6">
      <c r="A943" s="41"/>
    </row>
    <row r="944" spans="1:1" x14ac:dyDescent="0.6">
      <c r="A944" s="41"/>
    </row>
    <row r="945" spans="1:1" x14ac:dyDescent="0.6">
      <c r="A945" s="41"/>
    </row>
    <row r="946" spans="1:1" x14ac:dyDescent="0.6">
      <c r="A946" s="41"/>
    </row>
    <row r="947" spans="1:1" x14ac:dyDescent="0.6">
      <c r="A947" s="41"/>
    </row>
    <row r="948" spans="1:1" x14ac:dyDescent="0.6">
      <c r="A948" s="41"/>
    </row>
    <row r="949" spans="1:1" x14ac:dyDescent="0.6">
      <c r="A949" s="41"/>
    </row>
    <row r="950" spans="1:1" x14ac:dyDescent="0.6">
      <c r="A950" s="41"/>
    </row>
    <row r="951" spans="1:1" x14ac:dyDescent="0.6">
      <c r="A951" s="41"/>
    </row>
    <row r="952" spans="1:1" x14ac:dyDescent="0.6">
      <c r="A952" s="41"/>
    </row>
    <row r="953" spans="1:1" x14ac:dyDescent="0.6">
      <c r="A953" s="41"/>
    </row>
    <row r="954" spans="1:1" x14ac:dyDescent="0.6">
      <c r="A954" s="41"/>
    </row>
    <row r="955" spans="1:1" x14ac:dyDescent="0.6">
      <c r="A955" s="41"/>
    </row>
    <row r="956" spans="1:1" x14ac:dyDescent="0.6">
      <c r="A956" s="41"/>
    </row>
    <row r="957" spans="1:1" x14ac:dyDescent="0.6">
      <c r="A957" s="41"/>
    </row>
    <row r="958" spans="1:1" x14ac:dyDescent="0.6">
      <c r="A958" s="41"/>
    </row>
    <row r="959" spans="1:1" x14ac:dyDescent="0.6">
      <c r="A959" s="41"/>
    </row>
    <row r="960" spans="1:1" x14ac:dyDescent="0.6">
      <c r="A960" s="41"/>
    </row>
    <row r="961" spans="1:1" x14ac:dyDescent="0.6">
      <c r="A961" s="41"/>
    </row>
    <row r="962" spans="1:1" x14ac:dyDescent="0.6">
      <c r="A962" s="41"/>
    </row>
    <row r="963" spans="1:1" x14ac:dyDescent="0.6">
      <c r="A963" s="41"/>
    </row>
    <row r="964" spans="1:1" x14ac:dyDescent="0.6">
      <c r="A964" s="41"/>
    </row>
    <row r="965" spans="1:1" x14ac:dyDescent="0.6">
      <c r="A965" s="41"/>
    </row>
    <row r="966" spans="1:1" x14ac:dyDescent="0.6">
      <c r="A966" s="41"/>
    </row>
    <row r="967" spans="1:1" x14ac:dyDescent="0.6">
      <c r="A967" s="41"/>
    </row>
    <row r="968" spans="1:1" x14ac:dyDescent="0.6">
      <c r="A968" s="41"/>
    </row>
    <row r="969" spans="1:1" x14ac:dyDescent="0.6">
      <c r="A969" s="41"/>
    </row>
    <row r="970" spans="1:1" x14ac:dyDescent="0.6">
      <c r="A970" s="41"/>
    </row>
    <row r="971" spans="1:1" x14ac:dyDescent="0.6">
      <c r="A971" s="41"/>
    </row>
    <row r="972" spans="1:1" x14ac:dyDescent="0.6">
      <c r="A972" s="41"/>
    </row>
    <row r="973" spans="1:1" x14ac:dyDescent="0.6">
      <c r="A973" s="41"/>
    </row>
    <row r="974" spans="1:1" x14ac:dyDescent="0.6">
      <c r="A974" s="41"/>
    </row>
    <row r="975" spans="1:1" x14ac:dyDescent="0.6">
      <c r="A975" s="41"/>
    </row>
    <row r="976" spans="1:1" x14ac:dyDescent="0.6">
      <c r="A976" s="41"/>
    </row>
    <row r="977" spans="1:1" x14ac:dyDescent="0.6">
      <c r="A977" s="41"/>
    </row>
    <row r="978" spans="1:1" x14ac:dyDescent="0.6">
      <c r="A978" s="41"/>
    </row>
    <row r="979" spans="1:1" x14ac:dyDescent="0.6">
      <c r="A979" s="41"/>
    </row>
    <row r="980" spans="1:1" x14ac:dyDescent="0.6">
      <c r="A980" s="41"/>
    </row>
    <row r="981" spans="1:1" x14ac:dyDescent="0.6">
      <c r="A981" s="41"/>
    </row>
    <row r="982" spans="1:1" x14ac:dyDescent="0.6">
      <c r="A982" s="41"/>
    </row>
    <row r="983" spans="1:1" x14ac:dyDescent="0.6">
      <c r="A983" s="41"/>
    </row>
    <row r="984" spans="1:1" x14ac:dyDescent="0.6">
      <c r="A984" s="41"/>
    </row>
    <row r="985" spans="1:1" x14ac:dyDescent="0.6">
      <c r="A985" s="41"/>
    </row>
    <row r="986" spans="1:1" x14ac:dyDescent="0.6">
      <c r="A986" s="41"/>
    </row>
    <row r="987" spans="1:1" x14ac:dyDescent="0.6">
      <c r="A987" s="41"/>
    </row>
    <row r="988" spans="1:1" x14ac:dyDescent="0.6">
      <c r="A988" s="41"/>
    </row>
    <row r="989" spans="1:1" x14ac:dyDescent="0.6">
      <c r="A989" s="41"/>
    </row>
    <row r="990" spans="1:1" x14ac:dyDescent="0.6">
      <c r="A990" s="41"/>
    </row>
    <row r="991" spans="1:1" x14ac:dyDescent="0.6">
      <c r="A991" s="41"/>
    </row>
    <row r="992" spans="1:1" x14ac:dyDescent="0.6">
      <c r="A992" s="41"/>
    </row>
    <row r="993" spans="1:1" x14ac:dyDescent="0.6">
      <c r="A993" s="41"/>
    </row>
    <row r="994" spans="1:1" x14ac:dyDescent="0.6">
      <c r="A994" s="41"/>
    </row>
    <row r="995" spans="1:1" x14ac:dyDescent="0.6">
      <c r="A995" s="41"/>
    </row>
    <row r="996" spans="1:1" x14ac:dyDescent="0.6">
      <c r="A996" s="41"/>
    </row>
    <row r="997" spans="1:1" x14ac:dyDescent="0.6">
      <c r="A997" s="41"/>
    </row>
    <row r="998" spans="1:1" x14ac:dyDescent="0.6">
      <c r="A998" s="41"/>
    </row>
    <row r="999" spans="1:1" x14ac:dyDescent="0.6">
      <c r="A999" s="41"/>
    </row>
    <row r="1000" spans="1:1" x14ac:dyDescent="0.6">
      <c r="A1000" s="41"/>
    </row>
    <row r="1001" spans="1:1" x14ac:dyDescent="0.6">
      <c r="A1001" s="41"/>
    </row>
    <row r="1002" spans="1:1" x14ac:dyDescent="0.6">
      <c r="A1002" s="41"/>
    </row>
    <row r="1003" spans="1:1" x14ac:dyDescent="0.6">
      <c r="A1003" s="41"/>
    </row>
    <row r="1004" spans="1:1" x14ac:dyDescent="0.6">
      <c r="A1004" s="41"/>
    </row>
    <row r="1005" spans="1:1" x14ac:dyDescent="0.6">
      <c r="A1005" s="41"/>
    </row>
    <row r="1006" spans="1:1" x14ac:dyDescent="0.6">
      <c r="A1006" s="41"/>
    </row>
    <row r="1007" spans="1:1" x14ac:dyDescent="0.6">
      <c r="A1007" s="41"/>
    </row>
    <row r="1008" spans="1:1" x14ac:dyDescent="0.6">
      <c r="A1008" s="41"/>
    </row>
    <row r="1009" spans="1:1" x14ac:dyDescent="0.6">
      <c r="A1009" s="41"/>
    </row>
    <row r="1010" spans="1:1" x14ac:dyDescent="0.6">
      <c r="A1010" s="41"/>
    </row>
    <row r="1011" spans="1:1" x14ac:dyDescent="0.6">
      <c r="A1011" s="41"/>
    </row>
    <row r="1012" spans="1:1" x14ac:dyDescent="0.6">
      <c r="A1012" s="41"/>
    </row>
    <row r="1013" spans="1:1" x14ac:dyDescent="0.6">
      <c r="A1013" s="41"/>
    </row>
    <row r="1014" spans="1:1" x14ac:dyDescent="0.6">
      <c r="A1014" s="41"/>
    </row>
    <row r="1015" spans="1:1" x14ac:dyDescent="0.6">
      <c r="A1015" s="41"/>
    </row>
    <row r="1016" spans="1:1" x14ac:dyDescent="0.6">
      <c r="A1016" s="41"/>
    </row>
    <row r="1017" spans="1:1" x14ac:dyDescent="0.6">
      <c r="A1017" s="41"/>
    </row>
    <row r="1018" spans="1:1" x14ac:dyDescent="0.6">
      <c r="A1018" s="41"/>
    </row>
    <row r="1019" spans="1:1" x14ac:dyDescent="0.6">
      <c r="A1019" s="41"/>
    </row>
    <row r="1020" spans="1:1" x14ac:dyDescent="0.6">
      <c r="A1020" s="41"/>
    </row>
    <row r="1021" spans="1:1" x14ac:dyDescent="0.6">
      <c r="A1021" s="41"/>
    </row>
    <row r="1022" spans="1:1" x14ac:dyDescent="0.6">
      <c r="A1022" s="41"/>
    </row>
    <row r="1023" spans="1:1" x14ac:dyDescent="0.6">
      <c r="A1023" s="41"/>
    </row>
    <row r="1024" spans="1:1" x14ac:dyDescent="0.6">
      <c r="A1024" s="41"/>
    </row>
    <row r="1025" spans="1:1" x14ac:dyDescent="0.6">
      <c r="A1025" s="41"/>
    </row>
    <row r="1026" spans="1:1" x14ac:dyDescent="0.6">
      <c r="A1026" s="41"/>
    </row>
    <row r="1027" spans="1:1" x14ac:dyDescent="0.6">
      <c r="A1027" s="41"/>
    </row>
    <row r="1028" spans="1:1" x14ac:dyDescent="0.6">
      <c r="A1028" s="41"/>
    </row>
    <row r="1029" spans="1:1" x14ac:dyDescent="0.6">
      <c r="A1029" s="41"/>
    </row>
    <row r="1030" spans="1:1" x14ac:dyDescent="0.6">
      <c r="A1030" s="41"/>
    </row>
    <row r="1031" spans="1:1" x14ac:dyDescent="0.6">
      <c r="A1031" s="41"/>
    </row>
    <row r="1032" spans="1:1" x14ac:dyDescent="0.6">
      <c r="A1032" s="41"/>
    </row>
    <row r="1033" spans="1:1" x14ac:dyDescent="0.6">
      <c r="A1033" s="41"/>
    </row>
    <row r="1034" spans="1:1" x14ac:dyDescent="0.6">
      <c r="A1034" s="41"/>
    </row>
    <row r="1035" spans="1:1" x14ac:dyDescent="0.6">
      <c r="A1035" s="41"/>
    </row>
    <row r="1036" spans="1:1" x14ac:dyDescent="0.6">
      <c r="A1036" s="41"/>
    </row>
    <row r="1037" spans="1:1" x14ac:dyDescent="0.6">
      <c r="A1037" s="41"/>
    </row>
    <row r="1038" spans="1:1" x14ac:dyDescent="0.6">
      <c r="A1038" s="41"/>
    </row>
    <row r="1039" spans="1:1" x14ac:dyDescent="0.6">
      <c r="A1039" s="41"/>
    </row>
    <row r="1040" spans="1:1" x14ac:dyDescent="0.6">
      <c r="A1040" s="41"/>
    </row>
    <row r="1041" spans="1:1" x14ac:dyDescent="0.6">
      <c r="A1041" s="41"/>
    </row>
    <row r="1042" spans="1:1" x14ac:dyDescent="0.6">
      <c r="A1042" s="41"/>
    </row>
    <row r="1043" spans="1:1" x14ac:dyDescent="0.6">
      <c r="A1043" s="41"/>
    </row>
    <row r="1044" spans="1:1" x14ac:dyDescent="0.6">
      <c r="A1044" s="41"/>
    </row>
    <row r="1045" spans="1:1" x14ac:dyDescent="0.6">
      <c r="A1045" s="41"/>
    </row>
    <row r="1046" spans="1:1" x14ac:dyDescent="0.6">
      <c r="A1046" s="41"/>
    </row>
    <row r="1047" spans="1:1" x14ac:dyDescent="0.6">
      <c r="A1047" s="41"/>
    </row>
    <row r="1048" spans="1:1" x14ac:dyDescent="0.6">
      <c r="A1048" s="41"/>
    </row>
    <row r="1049" spans="1:1" x14ac:dyDescent="0.6">
      <c r="A1049" s="41"/>
    </row>
    <row r="1050" spans="1:1" x14ac:dyDescent="0.6">
      <c r="A1050" s="41"/>
    </row>
    <row r="1051" spans="1:1" x14ac:dyDescent="0.6">
      <c r="A1051" s="41"/>
    </row>
    <row r="1052" spans="1:1" x14ac:dyDescent="0.6">
      <c r="A1052" s="41"/>
    </row>
    <row r="1053" spans="1:1" x14ac:dyDescent="0.6">
      <c r="A1053" s="41"/>
    </row>
    <row r="1054" spans="1:1" x14ac:dyDescent="0.6">
      <c r="A1054" s="41"/>
    </row>
    <row r="1055" spans="1:1" x14ac:dyDescent="0.6">
      <c r="A1055" s="41"/>
    </row>
    <row r="1056" spans="1:1" x14ac:dyDescent="0.6">
      <c r="A1056" s="41"/>
    </row>
    <row r="1057" spans="1:1" x14ac:dyDescent="0.6">
      <c r="A1057" s="41"/>
    </row>
    <row r="1058" spans="1:1" x14ac:dyDescent="0.6">
      <c r="A1058" s="41"/>
    </row>
    <row r="1059" spans="1:1" x14ac:dyDescent="0.6">
      <c r="A1059" s="41"/>
    </row>
    <row r="1060" spans="1:1" x14ac:dyDescent="0.6">
      <c r="A1060" s="41"/>
    </row>
    <row r="1061" spans="1:1" x14ac:dyDescent="0.6">
      <c r="A1061" s="41"/>
    </row>
    <row r="1062" spans="1:1" x14ac:dyDescent="0.6">
      <c r="A1062" s="41"/>
    </row>
    <row r="1063" spans="1:1" x14ac:dyDescent="0.6">
      <c r="A1063" s="41"/>
    </row>
    <row r="1064" spans="1:1" x14ac:dyDescent="0.6">
      <c r="A1064" s="41"/>
    </row>
    <row r="1065" spans="1:1" x14ac:dyDescent="0.6">
      <c r="A1065" s="41"/>
    </row>
    <row r="1066" spans="1:1" x14ac:dyDescent="0.6">
      <c r="A1066" s="41"/>
    </row>
    <row r="1067" spans="1:1" x14ac:dyDescent="0.6">
      <c r="A1067" s="41"/>
    </row>
    <row r="1068" spans="1:1" x14ac:dyDescent="0.6">
      <c r="A1068" s="41"/>
    </row>
    <row r="1069" spans="1:1" x14ac:dyDescent="0.6">
      <c r="A1069" s="41"/>
    </row>
    <row r="1070" spans="1:1" x14ac:dyDescent="0.6">
      <c r="A1070" s="41"/>
    </row>
    <row r="1071" spans="1:1" x14ac:dyDescent="0.6">
      <c r="A1071" s="41"/>
    </row>
    <row r="1072" spans="1:1" x14ac:dyDescent="0.6">
      <c r="A1072" s="41"/>
    </row>
    <row r="1073" spans="1:1" x14ac:dyDescent="0.6">
      <c r="A1073" s="41"/>
    </row>
    <row r="1074" spans="1:1" x14ac:dyDescent="0.6">
      <c r="A1074" s="41"/>
    </row>
    <row r="1075" spans="1:1" x14ac:dyDescent="0.6">
      <c r="A1075" s="41"/>
    </row>
    <row r="1076" spans="1:1" x14ac:dyDescent="0.6">
      <c r="A1076" s="41"/>
    </row>
    <row r="1077" spans="1:1" x14ac:dyDescent="0.6">
      <c r="A1077" s="41"/>
    </row>
    <row r="1078" spans="1:1" x14ac:dyDescent="0.6">
      <c r="A1078" s="41"/>
    </row>
    <row r="1079" spans="1:1" x14ac:dyDescent="0.6">
      <c r="A1079" s="41"/>
    </row>
    <row r="1080" spans="1:1" x14ac:dyDescent="0.6">
      <c r="A1080" s="41"/>
    </row>
    <row r="1081" spans="1:1" x14ac:dyDescent="0.6">
      <c r="A1081" s="41"/>
    </row>
    <row r="1082" spans="1:1" x14ac:dyDescent="0.6">
      <c r="A1082" s="41"/>
    </row>
    <row r="1083" spans="1:1" x14ac:dyDescent="0.6">
      <c r="A1083" s="41"/>
    </row>
    <row r="1084" spans="1:1" x14ac:dyDescent="0.6">
      <c r="A1084" s="41"/>
    </row>
    <row r="1085" spans="1:1" x14ac:dyDescent="0.6">
      <c r="A1085" s="41"/>
    </row>
    <row r="1086" spans="1:1" x14ac:dyDescent="0.6">
      <c r="A1086" s="41"/>
    </row>
    <row r="1087" spans="1:1" x14ac:dyDescent="0.6">
      <c r="A1087" s="41"/>
    </row>
    <row r="1088" spans="1:1" x14ac:dyDescent="0.6">
      <c r="A1088" s="41"/>
    </row>
    <row r="1089" spans="1:1" x14ac:dyDescent="0.6">
      <c r="A1089" s="41"/>
    </row>
    <row r="1090" spans="1:1" x14ac:dyDescent="0.6">
      <c r="A1090" s="41"/>
    </row>
    <row r="1091" spans="1:1" x14ac:dyDescent="0.6">
      <c r="A1091" s="41"/>
    </row>
    <row r="1092" spans="1:1" x14ac:dyDescent="0.6">
      <c r="A1092" s="41"/>
    </row>
    <row r="1093" spans="1:1" x14ac:dyDescent="0.6">
      <c r="A1093" s="41"/>
    </row>
    <row r="1094" spans="1:1" x14ac:dyDescent="0.6">
      <c r="A1094" s="41"/>
    </row>
    <row r="1095" spans="1:1" x14ac:dyDescent="0.6">
      <c r="A1095" s="41"/>
    </row>
    <row r="1096" spans="1:1" x14ac:dyDescent="0.6">
      <c r="A1096" s="41"/>
    </row>
    <row r="1097" spans="1:1" x14ac:dyDescent="0.6">
      <c r="A1097" s="41"/>
    </row>
    <row r="1098" spans="1:1" x14ac:dyDescent="0.6">
      <c r="A1098" s="41"/>
    </row>
    <row r="1099" spans="1:1" x14ac:dyDescent="0.6">
      <c r="A1099" s="41"/>
    </row>
    <row r="1100" spans="1:1" x14ac:dyDescent="0.6">
      <c r="A1100" s="41"/>
    </row>
    <row r="1101" spans="1:1" x14ac:dyDescent="0.6">
      <c r="A1101" s="41"/>
    </row>
    <row r="1102" spans="1:1" x14ac:dyDescent="0.6">
      <c r="A1102" s="41"/>
    </row>
    <row r="1103" spans="1:1" x14ac:dyDescent="0.6">
      <c r="A1103" s="41"/>
    </row>
    <row r="1104" spans="1:1" x14ac:dyDescent="0.6">
      <c r="A1104" s="41"/>
    </row>
    <row r="1105" spans="1:1" x14ac:dyDescent="0.6">
      <c r="A1105" s="41"/>
    </row>
    <row r="1106" spans="1:1" x14ac:dyDescent="0.6">
      <c r="A1106" s="41"/>
    </row>
    <row r="1107" spans="1:1" x14ac:dyDescent="0.6">
      <c r="A1107" s="41"/>
    </row>
    <row r="1108" spans="1:1" x14ac:dyDescent="0.6">
      <c r="A1108" s="41"/>
    </row>
    <row r="1109" spans="1:1" x14ac:dyDescent="0.6">
      <c r="A1109" s="41"/>
    </row>
    <row r="1110" spans="1:1" x14ac:dyDescent="0.6">
      <c r="A1110" s="41"/>
    </row>
    <row r="1111" spans="1:1" x14ac:dyDescent="0.6">
      <c r="A1111" s="41"/>
    </row>
    <row r="1112" spans="1:1" x14ac:dyDescent="0.6">
      <c r="A1112" s="41"/>
    </row>
    <row r="1113" spans="1:1" x14ac:dyDescent="0.6">
      <c r="A1113" s="41"/>
    </row>
    <row r="1114" spans="1:1" x14ac:dyDescent="0.6">
      <c r="A1114" s="41"/>
    </row>
    <row r="1115" spans="1:1" x14ac:dyDescent="0.6">
      <c r="A1115" s="41"/>
    </row>
    <row r="1116" spans="1:1" x14ac:dyDescent="0.6">
      <c r="A1116" s="41"/>
    </row>
    <row r="1117" spans="1:1" x14ac:dyDescent="0.6">
      <c r="A1117" s="41"/>
    </row>
    <row r="1118" spans="1:1" x14ac:dyDescent="0.6">
      <c r="A1118" s="41"/>
    </row>
    <row r="1119" spans="1:1" x14ac:dyDescent="0.6">
      <c r="A1119" s="41"/>
    </row>
    <row r="1120" spans="1:1" x14ac:dyDescent="0.6">
      <c r="A1120" s="41"/>
    </row>
    <row r="1121" spans="1:1" x14ac:dyDescent="0.6">
      <c r="A1121" s="41"/>
    </row>
    <row r="1122" spans="1:1" x14ac:dyDescent="0.6">
      <c r="A1122" s="41"/>
    </row>
    <row r="1123" spans="1:1" x14ac:dyDescent="0.6">
      <c r="A1123" s="41"/>
    </row>
    <row r="1124" spans="1:1" x14ac:dyDescent="0.6">
      <c r="A1124" s="41"/>
    </row>
    <row r="1125" spans="1:1" x14ac:dyDescent="0.6">
      <c r="A1125" s="41"/>
    </row>
    <row r="1126" spans="1:1" x14ac:dyDescent="0.6">
      <c r="A1126" s="41"/>
    </row>
    <row r="1127" spans="1:1" x14ac:dyDescent="0.6">
      <c r="A1127" s="41"/>
    </row>
    <row r="1128" spans="1:1" x14ac:dyDescent="0.6">
      <c r="A1128" s="41"/>
    </row>
    <row r="1129" spans="1:1" x14ac:dyDescent="0.6">
      <c r="A1129" s="41"/>
    </row>
    <row r="1130" spans="1:1" x14ac:dyDescent="0.6">
      <c r="A1130" s="41"/>
    </row>
    <row r="1131" spans="1:1" x14ac:dyDescent="0.6">
      <c r="A1131" s="41"/>
    </row>
    <row r="1132" spans="1:1" x14ac:dyDescent="0.6">
      <c r="A1132" s="41"/>
    </row>
    <row r="1133" spans="1:1" x14ac:dyDescent="0.6">
      <c r="A1133" s="41"/>
    </row>
    <row r="1134" spans="1:1" x14ac:dyDescent="0.6">
      <c r="A1134" s="41"/>
    </row>
    <row r="1135" spans="1:1" x14ac:dyDescent="0.6">
      <c r="A1135" s="41"/>
    </row>
    <row r="1136" spans="1:1" x14ac:dyDescent="0.6">
      <c r="A1136" s="41"/>
    </row>
    <row r="1137" spans="1:1" x14ac:dyDescent="0.6">
      <c r="A1137" s="41"/>
    </row>
    <row r="1138" spans="1:1" x14ac:dyDescent="0.6">
      <c r="A1138" s="41"/>
    </row>
    <row r="1139" spans="1:1" x14ac:dyDescent="0.6">
      <c r="A1139" s="41"/>
    </row>
    <row r="1140" spans="1:1" x14ac:dyDescent="0.6">
      <c r="A1140" s="41"/>
    </row>
    <row r="1141" spans="1:1" x14ac:dyDescent="0.6">
      <c r="A1141" s="41"/>
    </row>
    <row r="1142" spans="1:1" x14ac:dyDescent="0.6">
      <c r="A1142" s="41"/>
    </row>
    <row r="1143" spans="1:1" x14ac:dyDescent="0.6">
      <c r="A1143" s="41"/>
    </row>
    <row r="1144" spans="1:1" x14ac:dyDescent="0.6">
      <c r="A1144" s="41"/>
    </row>
    <row r="1145" spans="1:1" x14ac:dyDescent="0.6">
      <c r="A1145" s="41"/>
    </row>
    <row r="1146" spans="1:1" x14ac:dyDescent="0.6">
      <c r="A1146" s="41"/>
    </row>
    <row r="1147" spans="1:1" x14ac:dyDescent="0.6">
      <c r="A1147" s="41"/>
    </row>
    <row r="1148" spans="1:1" x14ac:dyDescent="0.6">
      <c r="A1148" s="41"/>
    </row>
    <row r="1149" spans="1:1" x14ac:dyDescent="0.6">
      <c r="A1149" s="41"/>
    </row>
    <row r="1150" spans="1:1" x14ac:dyDescent="0.6">
      <c r="A1150" s="41"/>
    </row>
    <row r="1151" spans="1:1" x14ac:dyDescent="0.6">
      <c r="A1151" s="41"/>
    </row>
    <row r="1152" spans="1:1" x14ac:dyDescent="0.6">
      <c r="A1152" s="41"/>
    </row>
    <row r="1153" spans="1:1" x14ac:dyDescent="0.6">
      <c r="A1153" s="41"/>
    </row>
    <row r="1154" spans="1:1" x14ac:dyDescent="0.6">
      <c r="A1154" s="41"/>
    </row>
    <row r="1155" spans="1:1" x14ac:dyDescent="0.6">
      <c r="A1155" s="41"/>
    </row>
    <row r="1156" spans="1:1" x14ac:dyDescent="0.6">
      <c r="A1156" s="41"/>
    </row>
    <row r="1157" spans="1:1" x14ac:dyDescent="0.6">
      <c r="A1157" s="41"/>
    </row>
    <row r="1158" spans="1:1" x14ac:dyDescent="0.6">
      <c r="A1158" s="41"/>
    </row>
    <row r="1159" spans="1:1" x14ac:dyDescent="0.6">
      <c r="A1159" s="41"/>
    </row>
    <row r="1160" spans="1:1" x14ac:dyDescent="0.6">
      <c r="A1160" s="41"/>
    </row>
    <row r="1161" spans="1:1" x14ac:dyDescent="0.6">
      <c r="A1161" s="41"/>
    </row>
    <row r="1162" spans="1:1" x14ac:dyDescent="0.6">
      <c r="A1162" s="41"/>
    </row>
    <row r="1163" spans="1:1" x14ac:dyDescent="0.6">
      <c r="A1163" s="41"/>
    </row>
    <row r="1164" spans="1:1" x14ac:dyDescent="0.6">
      <c r="A1164" s="41"/>
    </row>
    <row r="1165" spans="1:1" x14ac:dyDescent="0.6">
      <c r="A1165" s="41"/>
    </row>
    <row r="1166" spans="1:1" x14ac:dyDescent="0.6">
      <c r="A1166" s="41"/>
    </row>
    <row r="1167" spans="1:1" x14ac:dyDescent="0.6">
      <c r="A1167" s="41"/>
    </row>
    <row r="1168" spans="1:1" x14ac:dyDescent="0.6">
      <c r="A1168" s="41"/>
    </row>
    <row r="1169" spans="1:1" x14ac:dyDescent="0.6">
      <c r="A1169" s="41"/>
    </row>
    <row r="1170" spans="1:1" x14ac:dyDescent="0.6">
      <c r="A1170" s="41"/>
    </row>
    <row r="1171" spans="1:1" x14ac:dyDescent="0.6">
      <c r="A1171" s="41"/>
    </row>
    <row r="1172" spans="1:1" x14ac:dyDescent="0.6">
      <c r="A1172" s="41"/>
    </row>
    <row r="1173" spans="1:1" x14ac:dyDescent="0.6">
      <c r="A1173" s="41"/>
    </row>
    <row r="1174" spans="1:1" x14ac:dyDescent="0.6">
      <c r="A1174" s="41"/>
    </row>
    <row r="1175" spans="1:1" x14ac:dyDescent="0.6">
      <c r="A1175" s="41"/>
    </row>
    <row r="1176" spans="1:1" x14ac:dyDescent="0.6">
      <c r="A1176" s="41"/>
    </row>
    <row r="1177" spans="1:1" x14ac:dyDescent="0.6">
      <c r="A1177" s="41"/>
    </row>
    <row r="1178" spans="1:1" x14ac:dyDescent="0.6">
      <c r="A1178" s="41"/>
    </row>
    <row r="1179" spans="1:1" x14ac:dyDescent="0.6">
      <c r="A1179" s="41"/>
    </row>
    <row r="1180" spans="1:1" x14ac:dyDescent="0.6">
      <c r="A1180" s="41"/>
    </row>
    <row r="1181" spans="1:1" x14ac:dyDescent="0.6">
      <c r="A1181" s="41"/>
    </row>
    <row r="1182" spans="1:1" x14ac:dyDescent="0.6">
      <c r="A1182" s="41"/>
    </row>
    <row r="1183" spans="1:1" x14ac:dyDescent="0.6">
      <c r="A1183" s="41"/>
    </row>
    <row r="1184" spans="1:1" x14ac:dyDescent="0.6">
      <c r="A1184" s="41"/>
    </row>
    <row r="1185" spans="1:1" x14ac:dyDescent="0.6">
      <c r="A1185" s="41"/>
    </row>
    <row r="1186" spans="1:1" x14ac:dyDescent="0.6">
      <c r="A1186" s="41"/>
    </row>
    <row r="1187" spans="1:1" x14ac:dyDescent="0.6">
      <c r="A1187" s="41"/>
    </row>
    <row r="1188" spans="1:1" x14ac:dyDescent="0.6">
      <c r="A1188" s="41"/>
    </row>
    <row r="1189" spans="1:1" x14ac:dyDescent="0.6">
      <c r="A1189" s="41"/>
    </row>
    <row r="1190" spans="1:1" x14ac:dyDescent="0.6">
      <c r="A1190" s="41"/>
    </row>
    <row r="1191" spans="1:1" x14ac:dyDescent="0.6">
      <c r="A1191" s="41"/>
    </row>
    <row r="1192" spans="1:1" x14ac:dyDescent="0.6">
      <c r="A1192" s="41"/>
    </row>
    <row r="1193" spans="1:1" x14ac:dyDescent="0.6">
      <c r="A1193" s="41"/>
    </row>
    <row r="1194" spans="1:1" x14ac:dyDescent="0.6">
      <c r="A1194" s="41"/>
    </row>
    <row r="1195" spans="1:1" x14ac:dyDescent="0.6">
      <c r="A1195" s="41"/>
    </row>
    <row r="1196" spans="1:1" x14ac:dyDescent="0.6">
      <c r="A1196" s="41"/>
    </row>
    <row r="1197" spans="1:1" x14ac:dyDescent="0.6">
      <c r="A1197" s="41"/>
    </row>
    <row r="1198" spans="1:1" x14ac:dyDescent="0.6">
      <c r="A1198" s="41"/>
    </row>
    <row r="1199" spans="1:1" x14ac:dyDescent="0.6">
      <c r="A1199" s="41"/>
    </row>
    <row r="1200" spans="1:1" x14ac:dyDescent="0.6">
      <c r="A1200" s="41"/>
    </row>
    <row r="1201" spans="1:1" x14ac:dyDescent="0.6">
      <c r="A1201" s="41"/>
    </row>
    <row r="1202" spans="1:1" x14ac:dyDescent="0.6">
      <c r="A1202" s="41"/>
    </row>
    <row r="1203" spans="1:1" x14ac:dyDescent="0.6">
      <c r="A1203" s="41"/>
    </row>
    <row r="1204" spans="1:1" x14ac:dyDescent="0.6">
      <c r="A1204" s="41"/>
    </row>
    <row r="1205" spans="1:1" x14ac:dyDescent="0.6">
      <c r="A1205" s="41"/>
    </row>
    <row r="1206" spans="1:1" x14ac:dyDescent="0.6">
      <c r="A1206" s="41"/>
    </row>
    <row r="1207" spans="1:1" x14ac:dyDescent="0.6">
      <c r="A1207" s="41"/>
    </row>
    <row r="1208" spans="1:1" x14ac:dyDescent="0.6">
      <c r="A1208" s="41"/>
    </row>
    <row r="1209" spans="1:1" x14ac:dyDescent="0.6">
      <c r="A1209" s="41"/>
    </row>
    <row r="1210" spans="1:1" x14ac:dyDescent="0.6">
      <c r="A1210" s="41"/>
    </row>
    <row r="1211" spans="1:1" x14ac:dyDescent="0.6">
      <c r="A1211" s="41"/>
    </row>
    <row r="1212" spans="1:1" x14ac:dyDescent="0.6">
      <c r="A1212" s="41"/>
    </row>
    <row r="1213" spans="1:1" x14ac:dyDescent="0.6">
      <c r="A1213" s="41"/>
    </row>
    <row r="1214" spans="1:1" x14ac:dyDescent="0.6">
      <c r="A1214" s="41"/>
    </row>
    <row r="1215" spans="1:1" x14ac:dyDescent="0.6">
      <c r="A1215" s="41"/>
    </row>
    <row r="1216" spans="1:1" x14ac:dyDescent="0.6">
      <c r="A1216" s="41"/>
    </row>
    <row r="1217" spans="1:1" x14ac:dyDescent="0.6">
      <c r="A1217" s="41"/>
    </row>
    <row r="1218" spans="1:1" x14ac:dyDescent="0.6">
      <c r="A1218" s="41"/>
    </row>
    <row r="1219" spans="1:1" x14ac:dyDescent="0.6">
      <c r="A1219" s="41"/>
    </row>
    <row r="1220" spans="1:1" x14ac:dyDescent="0.6">
      <c r="A1220" s="41"/>
    </row>
    <row r="1221" spans="1:1" x14ac:dyDescent="0.6">
      <c r="A1221" s="41"/>
    </row>
    <row r="1222" spans="1:1" x14ac:dyDescent="0.6">
      <c r="A1222" s="41"/>
    </row>
    <row r="1223" spans="1:1" x14ac:dyDescent="0.6">
      <c r="A1223" s="41"/>
    </row>
    <row r="1224" spans="1:1" x14ac:dyDescent="0.6">
      <c r="A1224" s="41"/>
    </row>
    <row r="1225" spans="1:1" x14ac:dyDescent="0.6">
      <c r="A1225" s="41"/>
    </row>
    <row r="1226" spans="1:1" x14ac:dyDescent="0.6">
      <c r="A1226" s="41"/>
    </row>
    <row r="1227" spans="1:1" x14ac:dyDescent="0.6">
      <c r="A1227" s="41"/>
    </row>
    <row r="1228" spans="1:1" x14ac:dyDescent="0.6">
      <c r="A1228" s="41"/>
    </row>
    <row r="1229" spans="1:1" x14ac:dyDescent="0.6">
      <c r="A1229" s="41"/>
    </row>
    <row r="1230" spans="1:1" x14ac:dyDescent="0.6">
      <c r="A1230" s="41"/>
    </row>
    <row r="1231" spans="1:1" x14ac:dyDescent="0.6">
      <c r="A1231" s="41"/>
    </row>
    <row r="1232" spans="1:1" x14ac:dyDescent="0.6">
      <c r="A1232" s="41"/>
    </row>
    <row r="1233" spans="1:1" x14ac:dyDescent="0.6">
      <c r="A1233" s="41"/>
    </row>
    <row r="1234" spans="1:1" x14ac:dyDescent="0.6">
      <c r="A1234" s="41"/>
    </row>
    <row r="1235" spans="1:1" x14ac:dyDescent="0.6">
      <c r="A1235" s="41"/>
    </row>
    <row r="1236" spans="1:1" x14ac:dyDescent="0.6">
      <c r="A1236" s="41"/>
    </row>
    <row r="1237" spans="1:1" x14ac:dyDescent="0.6">
      <c r="A1237" s="41"/>
    </row>
    <row r="1238" spans="1:1" x14ac:dyDescent="0.6">
      <c r="A1238" s="41"/>
    </row>
    <row r="1239" spans="1:1" x14ac:dyDescent="0.6">
      <c r="A1239" s="41"/>
    </row>
    <row r="1240" spans="1:1" x14ac:dyDescent="0.6">
      <c r="A1240" s="41"/>
    </row>
    <row r="1241" spans="1:1" x14ac:dyDescent="0.6">
      <c r="A1241" s="41"/>
    </row>
    <row r="1242" spans="1:1" x14ac:dyDescent="0.6">
      <c r="A1242" s="41"/>
    </row>
    <row r="1243" spans="1:1" x14ac:dyDescent="0.6">
      <c r="A1243" s="41"/>
    </row>
    <row r="1244" spans="1:1" x14ac:dyDescent="0.6">
      <c r="A1244" s="41"/>
    </row>
    <row r="1245" spans="1:1" x14ac:dyDescent="0.6">
      <c r="A1245" s="41"/>
    </row>
    <row r="1246" spans="1:1" x14ac:dyDescent="0.6">
      <c r="A1246" s="41"/>
    </row>
    <row r="1247" spans="1:1" x14ac:dyDescent="0.6">
      <c r="A1247" s="41"/>
    </row>
    <row r="1248" spans="1:1" x14ac:dyDescent="0.6">
      <c r="A1248" s="41"/>
    </row>
    <row r="1249" spans="1:1" x14ac:dyDescent="0.6">
      <c r="A1249" s="41"/>
    </row>
    <row r="1250" spans="1:1" x14ac:dyDescent="0.6">
      <c r="A1250" s="41"/>
    </row>
    <row r="1251" spans="1:1" x14ac:dyDescent="0.6">
      <c r="A1251" s="41"/>
    </row>
    <row r="1252" spans="1:1" x14ac:dyDescent="0.6">
      <c r="A1252" s="41"/>
    </row>
    <row r="1253" spans="1:1" x14ac:dyDescent="0.6">
      <c r="A1253" s="41"/>
    </row>
    <row r="1254" spans="1:1" x14ac:dyDescent="0.6">
      <c r="A1254" s="41"/>
    </row>
    <row r="1255" spans="1:1" x14ac:dyDescent="0.6">
      <c r="A1255" s="41"/>
    </row>
    <row r="1256" spans="1:1" x14ac:dyDescent="0.6">
      <c r="A1256" s="41"/>
    </row>
    <row r="1257" spans="1:1" x14ac:dyDescent="0.6">
      <c r="A1257" s="41"/>
    </row>
    <row r="1258" spans="1:1" x14ac:dyDescent="0.6">
      <c r="A1258" s="41"/>
    </row>
    <row r="1259" spans="1:1" x14ac:dyDescent="0.6">
      <c r="A1259" s="41"/>
    </row>
    <row r="1260" spans="1:1" x14ac:dyDescent="0.6">
      <c r="A1260" s="41"/>
    </row>
    <row r="1261" spans="1:1" x14ac:dyDescent="0.6">
      <c r="A1261" s="41"/>
    </row>
    <row r="1262" spans="1:1" x14ac:dyDescent="0.6">
      <c r="A1262" s="41"/>
    </row>
    <row r="1263" spans="1:1" x14ac:dyDescent="0.6">
      <c r="A1263" s="41"/>
    </row>
    <row r="1264" spans="1:1" x14ac:dyDescent="0.6">
      <c r="A1264" s="41"/>
    </row>
    <row r="1265" spans="1:1" x14ac:dyDescent="0.6">
      <c r="A1265" s="41"/>
    </row>
    <row r="1266" spans="1:1" x14ac:dyDescent="0.6">
      <c r="A1266" s="41"/>
    </row>
    <row r="1267" spans="1:1" x14ac:dyDescent="0.6">
      <c r="A1267" s="41"/>
    </row>
    <row r="1268" spans="1:1" x14ac:dyDescent="0.6">
      <c r="A1268" s="41"/>
    </row>
    <row r="1269" spans="1:1" x14ac:dyDescent="0.6">
      <c r="A1269" s="41"/>
    </row>
    <row r="1270" spans="1:1" x14ac:dyDescent="0.6">
      <c r="A1270" s="41"/>
    </row>
    <row r="1271" spans="1:1" x14ac:dyDescent="0.6">
      <c r="A1271" s="41"/>
    </row>
    <row r="1272" spans="1:1" x14ac:dyDescent="0.6">
      <c r="A1272" s="41"/>
    </row>
    <row r="1273" spans="1:1" x14ac:dyDescent="0.6">
      <c r="A1273" s="41"/>
    </row>
    <row r="1274" spans="1:1" x14ac:dyDescent="0.6">
      <c r="A1274" s="41"/>
    </row>
    <row r="1275" spans="1:1" x14ac:dyDescent="0.6">
      <c r="A1275" s="41"/>
    </row>
    <row r="1276" spans="1:1" x14ac:dyDescent="0.6">
      <c r="A1276" s="41"/>
    </row>
    <row r="1277" spans="1:1" x14ac:dyDescent="0.6">
      <c r="A1277" s="41"/>
    </row>
    <row r="1278" spans="1:1" x14ac:dyDescent="0.6">
      <c r="A1278" s="41"/>
    </row>
    <row r="1279" spans="1:1" x14ac:dyDescent="0.6">
      <c r="A1279" s="41"/>
    </row>
    <row r="1280" spans="1:1" x14ac:dyDescent="0.6">
      <c r="A1280" s="41"/>
    </row>
    <row r="1281" spans="1:1" x14ac:dyDescent="0.6">
      <c r="A1281" s="41"/>
    </row>
    <row r="1282" spans="1:1" x14ac:dyDescent="0.6">
      <c r="A1282" s="41"/>
    </row>
    <row r="1283" spans="1:1" x14ac:dyDescent="0.6">
      <c r="A1283" s="41"/>
    </row>
    <row r="1284" spans="1:1" x14ac:dyDescent="0.6">
      <c r="A1284" s="41"/>
    </row>
    <row r="1285" spans="1:1" x14ac:dyDescent="0.6">
      <c r="A1285" s="41"/>
    </row>
    <row r="1286" spans="1:1" x14ac:dyDescent="0.6">
      <c r="A1286" s="41"/>
    </row>
    <row r="1287" spans="1:1" x14ac:dyDescent="0.6">
      <c r="A1287" s="41"/>
    </row>
    <row r="1288" spans="1:1" x14ac:dyDescent="0.6">
      <c r="A1288" s="41"/>
    </row>
    <row r="1289" spans="1:1" x14ac:dyDescent="0.6">
      <c r="A1289" s="41"/>
    </row>
    <row r="1290" spans="1:1" x14ac:dyDescent="0.6">
      <c r="A1290" s="41"/>
    </row>
    <row r="1291" spans="1:1" x14ac:dyDescent="0.6">
      <c r="A1291" s="41"/>
    </row>
    <row r="1292" spans="1:1" x14ac:dyDescent="0.6">
      <c r="A1292" s="41"/>
    </row>
    <row r="1293" spans="1:1" x14ac:dyDescent="0.6">
      <c r="A1293" s="41"/>
    </row>
    <row r="1294" spans="1:1" x14ac:dyDescent="0.6">
      <c r="A1294" s="41"/>
    </row>
    <row r="1295" spans="1:1" x14ac:dyDescent="0.6">
      <c r="A1295" s="41"/>
    </row>
    <row r="1296" spans="1:1" x14ac:dyDescent="0.6">
      <c r="A1296" s="41"/>
    </row>
    <row r="1297" spans="1:1" x14ac:dyDescent="0.6">
      <c r="A1297" s="41"/>
    </row>
    <row r="1298" spans="1:1" x14ac:dyDescent="0.6">
      <c r="A1298" s="41"/>
    </row>
    <row r="1299" spans="1:1" x14ac:dyDescent="0.6">
      <c r="A1299" s="41"/>
    </row>
    <row r="1300" spans="1:1" x14ac:dyDescent="0.6">
      <c r="A1300" s="41"/>
    </row>
    <row r="1301" spans="1:1" x14ac:dyDescent="0.6">
      <c r="A1301" s="41"/>
    </row>
    <row r="1302" spans="1:1" x14ac:dyDescent="0.6">
      <c r="A1302" s="41"/>
    </row>
    <row r="1303" spans="1:1" x14ac:dyDescent="0.6">
      <c r="A1303" s="41"/>
    </row>
    <row r="1304" spans="1:1" x14ac:dyDescent="0.6">
      <c r="A1304" s="41"/>
    </row>
    <row r="1305" spans="1:1" x14ac:dyDescent="0.6">
      <c r="A1305" s="41"/>
    </row>
    <row r="1306" spans="1:1" x14ac:dyDescent="0.6">
      <c r="A1306" s="41"/>
    </row>
    <row r="1307" spans="1:1" x14ac:dyDescent="0.6">
      <c r="A1307" s="41"/>
    </row>
    <row r="1308" spans="1:1" x14ac:dyDescent="0.6">
      <c r="A1308" s="41"/>
    </row>
    <row r="1309" spans="1:1" x14ac:dyDescent="0.6">
      <c r="A1309" s="41"/>
    </row>
    <row r="1310" spans="1:1" x14ac:dyDescent="0.6">
      <c r="A1310" s="41"/>
    </row>
    <row r="1311" spans="1:1" x14ac:dyDescent="0.6">
      <c r="A1311" s="41"/>
    </row>
    <row r="1312" spans="1:1" x14ac:dyDescent="0.6">
      <c r="A1312" s="41"/>
    </row>
    <row r="1313" spans="1:1" x14ac:dyDescent="0.6">
      <c r="A1313" s="41"/>
    </row>
    <row r="1314" spans="1:1" x14ac:dyDescent="0.6">
      <c r="A1314" s="41"/>
    </row>
    <row r="1315" spans="1:1" x14ac:dyDescent="0.6">
      <c r="A1315" s="41"/>
    </row>
    <row r="1316" spans="1:1" x14ac:dyDescent="0.6">
      <c r="A1316" s="41"/>
    </row>
    <row r="1317" spans="1:1" x14ac:dyDescent="0.6">
      <c r="A1317" s="41"/>
    </row>
    <row r="1318" spans="1:1" x14ac:dyDescent="0.6">
      <c r="A1318" s="41"/>
    </row>
    <row r="1319" spans="1:1" x14ac:dyDescent="0.6">
      <c r="A1319" s="41"/>
    </row>
    <row r="1320" spans="1:1" x14ac:dyDescent="0.6">
      <c r="A1320" s="41"/>
    </row>
    <row r="1321" spans="1:1" x14ac:dyDescent="0.6">
      <c r="A1321" s="41"/>
    </row>
    <row r="1322" spans="1:1" x14ac:dyDescent="0.6">
      <c r="A1322" s="41"/>
    </row>
    <row r="1323" spans="1:1" x14ac:dyDescent="0.6">
      <c r="A1323" s="41"/>
    </row>
    <row r="1324" spans="1:1" x14ac:dyDescent="0.6">
      <c r="A1324" s="41"/>
    </row>
    <row r="1325" spans="1:1" x14ac:dyDescent="0.6">
      <c r="A1325" s="41"/>
    </row>
    <row r="1326" spans="1:1" x14ac:dyDescent="0.6">
      <c r="A1326" s="41"/>
    </row>
    <row r="1327" spans="1:1" x14ac:dyDescent="0.6">
      <c r="A1327" s="41"/>
    </row>
    <row r="1328" spans="1:1" x14ac:dyDescent="0.6">
      <c r="A1328" s="41"/>
    </row>
    <row r="1329" spans="1:1" x14ac:dyDescent="0.6">
      <c r="A1329" s="41"/>
    </row>
    <row r="1330" spans="1:1" x14ac:dyDescent="0.6">
      <c r="A1330" s="41"/>
    </row>
    <row r="1331" spans="1:1" x14ac:dyDescent="0.6">
      <c r="A1331" s="41"/>
    </row>
    <row r="1332" spans="1:1" x14ac:dyDescent="0.6">
      <c r="A1332" s="41"/>
    </row>
    <row r="1333" spans="1:1" x14ac:dyDescent="0.6">
      <c r="A1333" s="41"/>
    </row>
    <row r="1334" spans="1:1" x14ac:dyDescent="0.6">
      <c r="A1334" s="41"/>
    </row>
    <row r="1335" spans="1:1" x14ac:dyDescent="0.6">
      <c r="A1335" s="41"/>
    </row>
    <row r="1336" spans="1:1" x14ac:dyDescent="0.6">
      <c r="A1336" s="41"/>
    </row>
    <row r="1337" spans="1:1" x14ac:dyDescent="0.6">
      <c r="A1337" s="41"/>
    </row>
    <row r="1338" spans="1:1" x14ac:dyDescent="0.6">
      <c r="A1338" s="41"/>
    </row>
    <row r="1339" spans="1:1" x14ac:dyDescent="0.6">
      <c r="A1339" s="41"/>
    </row>
    <row r="1340" spans="1:1" x14ac:dyDescent="0.6">
      <c r="A1340" s="41"/>
    </row>
    <row r="1341" spans="1:1" x14ac:dyDescent="0.6">
      <c r="A1341" s="41"/>
    </row>
    <row r="1342" spans="1:1" x14ac:dyDescent="0.6">
      <c r="A1342" s="41"/>
    </row>
    <row r="1343" spans="1:1" x14ac:dyDescent="0.6">
      <c r="A1343" s="41"/>
    </row>
    <row r="1344" spans="1:1" x14ac:dyDescent="0.6">
      <c r="A1344" s="41"/>
    </row>
    <row r="1345" spans="1:1" x14ac:dyDescent="0.6">
      <c r="A1345" s="41"/>
    </row>
    <row r="1346" spans="1:1" x14ac:dyDescent="0.6">
      <c r="A1346" s="41"/>
    </row>
    <row r="1347" spans="1:1" x14ac:dyDescent="0.6">
      <c r="A1347" s="41"/>
    </row>
    <row r="1348" spans="1:1" x14ac:dyDescent="0.6">
      <c r="A1348" s="41"/>
    </row>
    <row r="1349" spans="1:1" x14ac:dyDescent="0.6">
      <c r="A1349" s="41"/>
    </row>
    <row r="1350" spans="1:1" x14ac:dyDescent="0.6">
      <c r="A1350" s="41"/>
    </row>
    <row r="1351" spans="1:1" x14ac:dyDescent="0.6">
      <c r="A1351" s="41"/>
    </row>
    <row r="1352" spans="1:1" x14ac:dyDescent="0.6">
      <c r="A1352" s="41"/>
    </row>
    <row r="1353" spans="1:1" x14ac:dyDescent="0.6">
      <c r="A1353" s="41"/>
    </row>
    <row r="1354" spans="1:1" x14ac:dyDescent="0.6">
      <c r="A1354" s="41"/>
    </row>
    <row r="1355" spans="1:1" x14ac:dyDescent="0.6">
      <c r="A1355" s="41"/>
    </row>
    <row r="1356" spans="1:1" x14ac:dyDescent="0.6">
      <c r="A1356" s="41"/>
    </row>
    <row r="1357" spans="1:1" x14ac:dyDescent="0.6">
      <c r="A1357" s="41"/>
    </row>
    <row r="1358" spans="1:1" x14ac:dyDescent="0.6">
      <c r="A1358" s="41"/>
    </row>
    <row r="1359" spans="1:1" x14ac:dyDescent="0.6">
      <c r="A1359" s="41"/>
    </row>
    <row r="1360" spans="1:1" x14ac:dyDescent="0.6">
      <c r="A1360" s="41"/>
    </row>
    <row r="1361" spans="1:1" x14ac:dyDescent="0.6">
      <c r="A1361" s="41"/>
    </row>
    <row r="1362" spans="1:1" x14ac:dyDescent="0.6">
      <c r="A1362" s="41"/>
    </row>
    <row r="1363" spans="1:1" x14ac:dyDescent="0.6">
      <c r="A1363" s="41"/>
    </row>
    <row r="1364" spans="1:1" x14ac:dyDescent="0.6">
      <c r="A1364" s="41"/>
    </row>
    <row r="1365" spans="1:1" x14ac:dyDescent="0.6">
      <c r="A1365" s="41"/>
    </row>
    <row r="1366" spans="1:1" x14ac:dyDescent="0.6">
      <c r="A1366" s="41"/>
    </row>
    <row r="1367" spans="1:1" x14ac:dyDescent="0.6">
      <c r="A1367" s="41"/>
    </row>
    <row r="1368" spans="1:1" x14ac:dyDescent="0.6">
      <c r="A1368" s="41"/>
    </row>
    <row r="1369" spans="1:1" x14ac:dyDescent="0.6">
      <c r="A1369" s="41"/>
    </row>
    <row r="1370" spans="1:1" x14ac:dyDescent="0.6">
      <c r="A1370" s="41"/>
    </row>
    <row r="1371" spans="1:1" x14ac:dyDescent="0.6">
      <c r="A1371" s="41"/>
    </row>
    <row r="1372" spans="1:1" x14ac:dyDescent="0.6">
      <c r="A1372" s="41"/>
    </row>
    <row r="1373" spans="1:1" x14ac:dyDescent="0.6">
      <c r="A1373" s="41"/>
    </row>
    <row r="1374" spans="1:1" x14ac:dyDescent="0.6">
      <c r="A1374" s="41"/>
    </row>
    <row r="1375" spans="1:1" x14ac:dyDescent="0.6">
      <c r="A1375" s="41"/>
    </row>
    <row r="1376" spans="1:1" x14ac:dyDescent="0.6">
      <c r="A1376" s="41"/>
    </row>
    <row r="1377" spans="1:1" x14ac:dyDescent="0.6">
      <c r="A1377" s="41"/>
    </row>
    <row r="1378" spans="1:1" x14ac:dyDescent="0.6">
      <c r="A1378" s="41"/>
    </row>
    <row r="1379" spans="1:1" x14ac:dyDescent="0.6">
      <c r="A1379" s="41"/>
    </row>
    <row r="1380" spans="1:1" x14ac:dyDescent="0.6">
      <c r="A1380" s="41"/>
    </row>
    <row r="1381" spans="1:1" x14ac:dyDescent="0.6">
      <c r="A1381" s="41"/>
    </row>
    <row r="1382" spans="1:1" x14ac:dyDescent="0.6">
      <c r="A1382" s="41"/>
    </row>
    <row r="1383" spans="1:1" x14ac:dyDescent="0.6">
      <c r="A1383" s="41"/>
    </row>
    <row r="1384" spans="1:1" x14ac:dyDescent="0.6">
      <c r="A1384" s="41"/>
    </row>
    <row r="1385" spans="1:1" x14ac:dyDescent="0.6">
      <c r="A1385" s="41"/>
    </row>
    <row r="1386" spans="1:1" x14ac:dyDescent="0.6">
      <c r="A1386" s="41"/>
    </row>
    <row r="1387" spans="1:1" x14ac:dyDescent="0.6">
      <c r="A1387" s="41"/>
    </row>
    <row r="1388" spans="1:1" x14ac:dyDescent="0.6">
      <c r="A1388" s="41"/>
    </row>
    <row r="1389" spans="1:1" x14ac:dyDescent="0.6">
      <c r="A1389" s="41"/>
    </row>
    <row r="1390" spans="1:1" x14ac:dyDescent="0.6">
      <c r="A1390" s="41"/>
    </row>
    <row r="1391" spans="1:1" x14ac:dyDescent="0.6">
      <c r="A1391" s="41"/>
    </row>
    <row r="1392" spans="1:1" x14ac:dyDescent="0.6">
      <c r="A1392" s="41"/>
    </row>
    <row r="1393" spans="1:1" x14ac:dyDescent="0.6">
      <c r="A1393" s="41"/>
    </row>
    <row r="1394" spans="1:1" x14ac:dyDescent="0.6">
      <c r="A1394" s="41"/>
    </row>
    <row r="1395" spans="1:1" x14ac:dyDescent="0.6">
      <c r="A1395" s="41"/>
    </row>
    <row r="1396" spans="1:1" x14ac:dyDescent="0.6">
      <c r="A1396" s="41"/>
    </row>
    <row r="1397" spans="1:1" x14ac:dyDescent="0.6">
      <c r="A1397" s="41"/>
    </row>
    <row r="1398" spans="1:1" x14ac:dyDescent="0.6">
      <c r="A1398" s="41"/>
    </row>
    <row r="1399" spans="1:1" x14ac:dyDescent="0.6">
      <c r="A1399" s="41"/>
    </row>
    <row r="1400" spans="1:1" x14ac:dyDescent="0.6">
      <c r="A1400" s="41"/>
    </row>
    <row r="1401" spans="1:1" x14ac:dyDescent="0.6">
      <c r="A1401" s="41"/>
    </row>
    <row r="1402" spans="1:1" x14ac:dyDescent="0.6">
      <c r="A1402" s="41"/>
    </row>
    <row r="1403" spans="1:1" x14ac:dyDescent="0.6">
      <c r="A1403" s="41"/>
    </row>
    <row r="1404" spans="1:1" x14ac:dyDescent="0.6">
      <c r="A1404" s="41"/>
    </row>
    <row r="1405" spans="1:1" x14ac:dyDescent="0.6">
      <c r="A1405" s="41"/>
    </row>
    <row r="1406" spans="1:1" x14ac:dyDescent="0.6">
      <c r="A1406" s="41"/>
    </row>
    <row r="1407" spans="1:1" x14ac:dyDescent="0.6">
      <c r="A1407" s="41"/>
    </row>
    <row r="1408" spans="1:1" x14ac:dyDescent="0.6">
      <c r="A1408" s="41"/>
    </row>
    <row r="1409" spans="1:1" x14ac:dyDescent="0.6">
      <c r="A1409" s="41"/>
    </row>
    <row r="1410" spans="1:1" x14ac:dyDescent="0.6">
      <c r="A1410" s="41"/>
    </row>
    <row r="1411" spans="1:1" x14ac:dyDescent="0.6">
      <c r="A1411" s="41"/>
    </row>
    <row r="1412" spans="1:1" x14ac:dyDescent="0.6">
      <c r="A1412" s="41"/>
    </row>
    <row r="1413" spans="1:1" x14ac:dyDescent="0.6">
      <c r="A1413" s="41"/>
    </row>
    <row r="1414" spans="1:1" x14ac:dyDescent="0.6">
      <c r="A1414" s="41"/>
    </row>
    <row r="1415" spans="1:1" x14ac:dyDescent="0.6">
      <c r="A1415" s="41"/>
    </row>
    <row r="1416" spans="1:1" x14ac:dyDescent="0.6">
      <c r="A1416" s="41"/>
    </row>
    <row r="1417" spans="1:1" x14ac:dyDescent="0.6">
      <c r="A1417" s="41"/>
    </row>
    <row r="1418" spans="1:1" x14ac:dyDescent="0.6">
      <c r="A1418" s="41"/>
    </row>
    <row r="1419" spans="1:1" x14ac:dyDescent="0.6">
      <c r="A1419" s="41"/>
    </row>
    <row r="1420" spans="1:1" x14ac:dyDescent="0.6">
      <c r="A1420" s="41"/>
    </row>
    <row r="1421" spans="1:1" x14ac:dyDescent="0.6">
      <c r="A1421" s="41"/>
    </row>
    <row r="1422" spans="1:1" x14ac:dyDescent="0.6">
      <c r="A1422" s="41"/>
    </row>
    <row r="1423" spans="1:1" x14ac:dyDescent="0.6">
      <c r="A1423" s="41"/>
    </row>
    <row r="1424" spans="1:1" x14ac:dyDescent="0.6">
      <c r="A1424" s="41"/>
    </row>
    <row r="1425" spans="1:1" x14ac:dyDescent="0.6">
      <c r="A1425" s="41"/>
    </row>
    <row r="1426" spans="1:1" x14ac:dyDescent="0.6">
      <c r="A1426" s="41"/>
    </row>
    <row r="1427" spans="1:1" x14ac:dyDescent="0.6">
      <c r="A1427" s="41"/>
    </row>
    <row r="1428" spans="1:1" x14ac:dyDescent="0.6">
      <c r="A1428" s="41"/>
    </row>
    <row r="1429" spans="1:1" x14ac:dyDescent="0.6">
      <c r="A1429" s="41"/>
    </row>
    <row r="1430" spans="1:1" x14ac:dyDescent="0.6">
      <c r="A1430" s="41"/>
    </row>
    <row r="1431" spans="1:1" x14ac:dyDescent="0.6">
      <c r="A1431" s="41"/>
    </row>
    <row r="1432" spans="1:1" x14ac:dyDescent="0.6">
      <c r="A1432" s="41"/>
    </row>
    <row r="1433" spans="1:1" x14ac:dyDescent="0.6">
      <c r="A1433" s="41"/>
    </row>
    <row r="1434" spans="1:1" x14ac:dyDescent="0.6">
      <c r="A1434" s="41"/>
    </row>
    <row r="1435" spans="1:1" x14ac:dyDescent="0.6">
      <c r="A1435" s="41"/>
    </row>
    <row r="1436" spans="1:1" x14ac:dyDescent="0.6">
      <c r="A1436" s="41"/>
    </row>
    <row r="1437" spans="1:1" x14ac:dyDescent="0.6">
      <c r="A1437" s="41"/>
    </row>
    <row r="1438" spans="1:1" x14ac:dyDescent="0.6">
      <c r="A1438" s="41"/>
    </row>
    <row r="1439" spans="1:1" x14ac:dyDescent="0.6">
      <c r="A1439" s="41"/>
    </row>
    <row r="1440" spans="1:1" x14ac:dyDescent="0.6">
      <c r="A1440" s="41"/>
    </row>
    <row r="1441" spans="1:1" x14ac:dyDescent="0.6">
      <c r="A1441" s="41"/>
    </row>
    <row r="1442" spans="1:1" x14ac:dyDescent="0.6">
      <c r="A1442" s="41"/>
    </row>
    <row r="1443" spans="1:1" x14ac:dyDescent="0.6">
      <c r="A1443" s="41"/>
    </row>
    <row r="1444" spans="1:1" x14ac:dyDescent="0.6">
      <c r="A1444" s="41"/>
    </row>
    <row r="1445" spans="1:1" x14ac:dyDescent="0.6">
      <c r="A1445" s="41"/>
    </row>
    <row r="1446" spans="1:1" x14ac:dyDescent="0.6">
      <c r="A1446" s="41"/>
    </row>
    <row r="1447" spans="1:1" x14ac:dyDescent="0.6">
      <c r="A1447" s="41"/>
    </row>
    <row r="1448" spans="1:1" x14ac:dyDescent="0.6">
      <c r="A1448" s="41"/>
    </row>
    <row r="1449" spans="1:1" x14ac:dyDescent="0.6">
      <c r="A1449" s="41"/>
    </row>
    <row r="1450" spans="1:1" x14ac:dyDescent="0.6">
      <c r="A1450" s="41"/>
    </row>
    <row r="1451" spans="1:1" x14ac:dyDescent="0.6">
      <c r="A1451" s="41"/>
    </row>
    <row r="1452" spans="1:1" x14ac:dyDescent="0.6">
      <c r="A1452" s="41"/>
    </row>
    <row r="1453" spans="1:1" x14ac:dyDescent="0.6">
      <c r="A1453" s="41"/>
    </row>
    <row r="1454" spans="1:1" x14ac:dyDescent="0.6">
      <c r="A1454" s="41"/>
    </row>
    <row r="1455" spans="1:1" x14ac:dyDescent="0.6">
      <c r="A1455" s="41"/>
    </row>
    <row r="1456" spans="1:1" x14ac:dyDescent="0.6">
      <c r="A1456" s="41"/>
    </row>
    <row r="1457" spans="1:1" x14ac:dyDescent="0.6">
      <c r="A1457" s="41"/>
    </row>
    <row r="1458" spans="1:1" x14ac:dyDescent="0.6">
      <c r="A1458" s="41"/>
    </row>
    <row r="1459" spans="1:1" x14ac:dyDescent="0.6">
      <c r="A1459" s="41"/>
    </row>
    <row r="1460" spans="1:1" x14ac:dyDescent="0.6">
      <c r="A1460" s="41"/>
    </row>
    <row r="1461" spans="1:1" x14ac:dyDescent="0.6">
      <c r="A1461" s="41"/>
    </row>
    <row r="1462" spans="1:1" x14ac:dyDescent="0.6">
      <c r="A1462" s="41"/>
    </row>
    <row r="1463" spans="1:1" x14ac:dyDescent="0.6">
      <c r="A1463" s="41"/>
    </row>
    <row r="1464" spans="1:1" x14ac:dyDescent="0.6">
      <c r="A1464" s="41"/>
    </row>
    <row r="1465" spans="1:1" x14ac:dyDescent="0.6">
      <c r="A1465" s="41"/>
    </row>
    <row r="1466" spans="1:1" x14ac:dyDescent="0.6">
      <c r="A1466" s="41"/>
    </row>
    <row r="1467" spans="1:1" x14ac:dyDescent="0.6">
      <c r="A1467" s="41"/>
    </row>
    <row r="1468" spans="1:1" x14ac:dyDescent="0.6">
      <c r="A1468" s="41"/>
    </row>
    <row r="1469" spans="1:1" x14ac:dyDescent="0.6">
      <c r="A1469" s="41"/>
    </row>
    <row r="1470" spans="1:1" x14ac:dyDescent="0.6">
      <c r="A1470" s="41"/>
    </row>
    <row r="1471" spans="1:1" x14ac:dyDescent="0.6">
      <c r="A1471" s="41"/>
    </row>
    <row r="1472" spans="1:1" x14ac:dyDescent="0.6">
      <c r="A1472" s="41"/>
    </row>
    <row r="1473" spans="1:1" x14ac:dyDescent="0.6">
      <c r="A1473" s="41"/>
    </row>
    <row r="1474" spans="1:1" x14ac:dyDescent="0.6">
      <c r="A1474" s="41"/>
    </row>
    <row r="1475" spans="1:1" x14ac:dyDescent="0.6">
      <c r="A1475" s="41"/>
    </row>
    <row r="1476" spans="1:1" x14ac:dyDescent="0.6">
      <c r="A1476" s="41"/>
    </row>
    <row r="1477" spans="1:1" x14ac:dyDescent="0.6">
      <c r="A1477" s="41"/>
    </row>
    <row r="1478" spans="1:1" x14ac:dyDescent="0.6">
      <c r="A1478" s="41"/>
    </row>
    <row r="1479" spans="1:1" x14ac:dyDescent="0.6">
      <c r="A1479" s="41"/>
    </row>
    <row r="1480" spans="1:1" x14ac:dyDescent="0.6">
      <c r="A1480" s="41"/>
    </row>
    <row r="1481" spans="1:1" x14ac:dyDescent="0.6">
      <c r="A1481" s="41"/>
    </row>
    <row r="1482" spans="1:1" x14ac:dyDescent="0.6">
      <c r="A1482" s="41"/>
    </row>
    <row r="1483" spans="1:1" x14ac:dyDescent="0.6">
      <c r="A1483" s="41"/>
    </row>
    <row r="1484" spans="1:1" x14ac:dyDescent="0.6">
      <c r="A1484" s="41"/>
    </row>
    <row r="1485" spans="1:1" x14ac:dyDescent="0.6">
      <c r="A1485" s="41"/>
    </row>
    <row r="1486" spans="1:1" x14ac:dyDescent="0.6">
      <c r="A1486" s="41"/>
    </row>
    <row r="1487" spans="1:1" x14ac:dyDescent="0.6">
      <c r="A1487" s="41"/>
    </row>
    <row r="1488" spans="1:1" x14ac:dyDescent="0.6">
      <c r="A1488" s="41"/>
    </row>
    <row r="1489" spans="1:1" x14ac:dyDescent="0.6">
      <c r="A1489" s="41"/>
    </row>
    <row r="1490" spans="1:1" x14ac:dyDescent="0.6">
      <c r="A1490" s="41"/>
    </row>
    <row r="1491" spans="1:1" x14ac:dyDescent="0.6">
      <c r="A1491" s="41"/>
    </row>
    <row r="1492" spans="1:1" x14ac:dyDescent="0.6">
      <c r="A1492" s="41"/>
    </row>
    <row r="1493" spans="1:1" x14ac:dyDescent="0.6">
      <c r="A1493" s="41"/>
    </row>
    <row r="1494" spans="1:1" x14ac:dyDescent="0.6">
      <c r="A1494" s="41"/>
    </row>
    <row r="1495" spans="1:1" x14ac:dyDescent="0.6">
      <c r="A1495" s="41"/>
    </row>
    <row r="1496" spans="1:1" x14ac:dyDescent="0.6">
      <c r="A1496" s="41"/>
    </row>
    <row r="1497" spans="1:1" x14ac:dyDescent="0.6">
      <c r="A1497" s="41"/>
    </row>
    <row r="1498" spans="1:1" x14ac:dyDescent="0.6">
      <c r="A1498" s="41"/>
    </row>
    <row r="1499" spans="1:1" x14ac:dyDescent="0.6">
      <c r="A1499" s="41"/>
    </row>
    <row r="1500" spans="1:1" x14ac:dyDescent="0.6">
      <c r="A1500" s="41"/>
    </row>
    <row r="1501" spans="1:1" x14ac:dyDescent="0.6">
      <c r="A1501" s="41"/>
    </row>
    <row r="1502" spans="1:1" x14ac:dyDescent="0.6">
      <c r="A1502" s="41"/>
    </row>
    <row r="1503" spans="1:1" x14ac:dyDescent="0.6">
      <c r="A1503" s="41"/>
    </row>
    <row r="1504" spans="1:1" x14ac:dyDescent="0.6">
      <c r="A1504" s="41"/>
    </row>
    <row r="1505" spans="1:1" x14ac:dyDescent="0.6">
      <c r="A1505" s="41"/>
    </row>
    <row r="1506" spans="1:1" x14ac:dyDescent="0.6">
      <c r="A1506" s="41"/>
    </row>
    <row r="1507" spans="1:1" x14ac:dyDescent="0.6">
      <c r="A1507" s="41"/>
    </row>
    <row r="1508" spans="1:1" x14ac:dyDescent="0.6">
      <c r="A1508" s="41"/>
    </row>
    <row r="1509" spans="1:1" x14ac:dyDescent="0.6">
      <c r="A1509" s="41"/>
    </row>
    <row r="1510" spans="1:1" x14ac:dyDescent="0.6">
      <c r="A1510" s="41"/>
    </row>
    <row r="1511" spans="1:1" x14ac:dyDescent="0.6">
      <c r="A1511" s="41"/>
    </row>
    <row r="1512" spans="1:1" x14ac:dyDescent="0.6">
      <c r="A1512" s="41"/>
    </row>
    <row r="1513" spans="1:1" x14ac:dyDescent="0.6">
      <c r="A1513" s="41"/>
    </row>
    <row r="1514" spans="1:1" x14ac:dyDescent="0.6">
      <c r="A1514" s="41"/>
    </row>
    <row r="1515" spans="1:1" x14ac:dyDescent="0.6">
      <c r="A1515" s="41"/>
    </row>
    <row r="1516" spans="1:1" x14ac:dyDescent="0.6">
      <c r="A1516" s="41"/>
    </row>
    <row r="1517" spans="1:1" x14ac:dyDescent="0.6">
      <c r="A1517" s="41"/>
    </row>
    <row r="1518" spans="1:1" x14ac:dyDescent="0.6">
      <c r="A1518" s="41"/>
    </row>
    <row r="1519" spans="1:1" x14ac:dyDescent="0.6">
      <c r="A1519" s="41"/>
    </row>
    <row r="1520" spans="1:1" x14ac:dyDescent="0.6">
      <c r="A1520" s="41"/>
    </row>
    <row r="1521" spans="1:1" x14ac:dyDescent="0.6">
      <c r="A1521" s="41"/>
    </row>
    <row r="1522" spans="1:1" x14ac:dyDescent="0.6">
      <c r="A1522" s="41"/>
    </row>
    <row r="1523" spans="1:1" x14ac:dyDescent="0.6">
      <c r="A1523" s="41"/>
    </row>
    <row r="1524" spans="1:1" x14ac:dyDescent="0.6">
      <c r="A1524" s="41"/>
    </row>
    <row r="1525" spans="1:1" x14ac:dyDescent="0.6">
      <c r="A1525" s="41"/>
    </row>
    <row r="1526" spans="1:1" x14ac:dyDescent="0.6">
      <c r="A1526" s="41"/>
    </row>
    <row r="1527" spans="1:1" x14ac:dyDescent="0.6">
      <c r="A1527" s="41"/>
    </row>
    <row r="1528" spans="1:1" x14ac:dyDescent="0.6">
      <c r="A1528" s="41"/>
    </row>
    <row r="1529" spans="1:1" x14ac:dyDescent="0.6">
      <c r="A1529" s="41"/>
    </row>
    <row r="1530" spans="1:1" x14ac:dyDescent="0.6">
      <c r="A1530" s="41"/>
    </row>
    <row r="1531" spans="1:1" x14ac:dyDescent="0.6">
      <c r="A1531" s="41"/>
    </row>
    <row r="1532" spans="1:1" x14ac:dyDescent="0.6">
      <c r="A1532" s="41"/>
    </row>
    <row r="1533" spans="1:1" x14ac:dyDescent="0.6">
      <c r="A1533" s="41"/>
    </row>
    <row r="1534" spans="1:1" x14ac:dyDescent="0.6">
      <c r="A1534" s="41"/>
    </row>
    <row r="1535" spans="1:1" x14ac:dyDescent="0.6">
      <c r="A1535" s="41"/>
    </row>
    <row r="1536" spans="1:1" x14ac:dyDescent="0.6">
      <c r="A1536" s="41"/>
    </row>
    <row r="1537" spans="1:1" x14ac:dyDescent="0.6">
      <c r="A1537" s="41"/>
    </row>
    <row r="1538" spans="1:1" x14ac:dyDescent="0.6">
      <c r="A1538" s="41"/>
    </row>
    <row r="1539" spans="1:1" x14ac:dyDescent="0.6">
      <c r="A1539" s="41"/>
    </row>
    <row r="1540" spans="1:1" x14ac:dyDescent="0.6">
      <c r="A1540" s="41"/>
    </row>
    <row r="1541" spans="1:1" x14ac:dyDescent="0.6">
      <c r="A1541" s="41"/>
    </row>
    <row r="1542" spans="1:1" x14ac:dyDescent="0.6">
      <c r="A1542" s="41"/>
    </row>
    <row r="1543" spans="1:1" x14ac:dyDescent="0.6">
      <c r="A1543" s="41"/>
    </row>
    <row r="1544" spans="1:1" x14ac:dyDescent="0.6">
      <c r="A1544" s="41"/>
    </row>
    <row r="1545" spans="1:1" x14ac:dyDescent="0.6">
      <c r="A1545" s="41"/>
    </row>
    <row r="1546" spans="1:1" x14ac:dyDescent="0.6">
      <c r="A1546" s="41"/>
    </row>
    <row r="1547" spans="1:1" x14ac:dyDescent="0.6">
      <c r="A1547" s="41"/>
    </row>
    <row r="1548" spans="1:1" x14ac:dyDescent="0.6">
      <c r="A1548" s="41"/>
    </row>
    <row r="1549" spans="1:1" x14ac:dyDescent="0.6">
      <c r="A1549" s="41"/>
    </row>
    <row r="1550" spans="1:1" x14ac:dyDescent="0.6">
      <c r="A1550" s="41"/>
    </row>
    <row r="1551" spans="1:1" x14ac:dyDescent="0.6">
      <c r="A1551" s="41"/>
    </row>
    <row r="1552" spans="1:1" x14ac:dyDescent="0.6">
      <c r="A1552" s="41"/>
    </row>
    <row r="1553" spans="1:1" x14ac:dyDescent="0.6">
      <c r="A1553" s="41"/>
    </row>
    <row r="1554" spans="1:1" x14ac:dyDescent="0.6">
      <c r="A1554" s="41"/>
    </row>
    <row r="1555" spans="1:1" x14ac:dyDescent="0.6">
      <c r="A1555" s="41"/>
    </row>
    <row r="1556" spans="1:1" x14ac:dyDescent="0.6">
      <c r="A1556" s="41"/>
    </row>
    <row r="1557" spans="1:1" x14ac:dyDescent="0.6">
      <c r="A1557" s="41"/>
    </row>
    <row r="1558" spans="1:1" x14ac:dyDescent="0.6">
      <c r="A1558" s="41"/>
    </row>
    <row r="1559" spans="1:1" x14ac:dyDescent="0.6">
      <c r="A1559" s="41"/>
    </row>
    <row r="1560" spans="1:1" x14ac:dyDescent="0.6">
      <c r="A1560" s="41"/>
    </row>
    <row r="1561" spans="1:1" x14ac:dyDescent="0.6">
      <c r="A1561" s="41"/>
    </row>
    <row r="1562" spans="1:1" x14ac:dyDescent="0.6">
      <c r="A1562" s="41"/>
    </row>
    <row r="1563" spans="1:1" x14ac:dyDescent="0.6">
      <c r="A1563" s="41"/>
    </row>
    <row r="1564" spans="1:1" x14ac:dyDescent="0.6">
      <c r="A1564" s="41"/>
    </row>
    <row r="1565" spans="1:1" x14ac:dyDescent="0.6">
      <c r="A1565" s="41"/>
    </row>
    <row r="1566" spans="1:1" x14ac:dyDescent="0.6">
      <c r="A1566" s="41"/>
    </row>
    <row r="1567" spans="1:1" x14ac:dyDescent="0.6">
      <c r="A1567" s="41"/>
    </row>
    <row r="1568" spans="1:1" x14ac:dyDescent="0.6">
      <c r="A1568" s="41"/>
    </row>
    <row r="1569" spans="1:1" x14ac:dyDescent="0.6">
      <c r="A1569" s="41"/>
    </row>
    <row r="1570" spans="1:1" x14ac:dyDescent="0.6">
      <c r="A1570" s="41"/>
    </row>
    <row r="1571" spans="1:1" x14ac:dyDescent="0.6">
      <c r="A1571" s="41"/>
    </row>
    <row r="1572" spans="1:1" x14ac:dyDescent="0.6">
      <c r="A1572" s="41"/>
    </row>
    <row r="1573" spans="1:1" x14ac:dyDescent="0.6">
      <c r="A1573" s="41"/>
    </row>
    <row r="1574" spans="1:1" x14ac:dyDescent="0.6">
      <c r="A1574" s="41"/>
    </row>
    <row r="1575" spans="1:1" x14ac:dyDescent="0.6">
      <c r="A1575" s="41"/>
    </row>
    <row r="1576" spans="1:1" x14ac:dyDescent="0.6">
      <c r="A1576" s="41"/>
    </row>
    <row r="1577" spans="1:1" x14ac:dyDescent="0.6">
      <c r="A1577" s="41"/>
    </row>
    <row r="1578" spans="1:1" x14ac:dyDescent="0.6">
      <c r="A1578" s="41"/>
    </row>
    <row r="1579" spans="1:1" x14ac:dyDescent="0.6">
      <c r="A1579" s="41"/>
    </row>
    <row r="1580" spans="1:1" x14ac:dyDescent="0.6">
      <c r="A1580" s="41"/>
    </row>
    <row r="1581" spans="1:1" x14ac:dyDescent="0.6">
      <c r="A1581" s="41"/>
    </row>
    <row r="1582" spans="1:1" x14ac:dyDescent="0.6">
      <c r="A1582" s="41"/>
    </row>
    <row r="1583" spans="1:1" x14ac:dyDescent="0.6">
      <c r="A1583" s="41"/>
    </row>
    <row r="1584" spans="1:1" x14ac:dyDescent="0.6">
      <c r="A1584" s="41"/>
    </row>
    <row r="1585" spans="1:1" x14ac:dyDescent="0.6">
      <c r="A1585" s="41"/>
    </row>
    <row r="1586" spans="1:1" x14ac:dyDescent="0.6">
      <c r="A1586" s="41"/>
    </row>
    <row r="1587" spans="1:1" x14ac:dyDescent="0.6">
      <c r="A1587" s="41"/>
    </row>
    <row r="1588" spans="1:1" x14ac:dyDescent="0.6">
      <c r="A1588" s="41"/>
    </row>
    <row r="1589" spans="1:1" x14ac:dyDescent="0.6">
      <c r="A1589" s="41"/>
    </row>
    <row r="1590" spans="1:1" x14ac:dyDescent="0.6">
      <c r="A1590" s="41"/>
    </row>
    <row r="1591" spans="1:1" x14ac:dyDescent="0.6">
      <c r="A1591" s="41"/>
    </row>
    <row r="1592" spans="1:1" x14ac:dyDescent="0.6">
      <c r="A1592" s="41"/>
    </row>
    <row r="1593" spans="1:1" x14ac:dyDescent="0.6">
      <c r="A1593" s="41"/>
    </row>
    <row r="1594" spans="1:1" x14ac:dyDescent="0.6">
      <c r="A1594" s="41"/>
    </row>
    <row r="1595" spans="1:1" x14ac:dyDescent="0.6">
      <c r="A1595" s="41"/>
    </row>
    <row r="1596" spans="1:1" x14ac:dyDescent="0.6">
      <c r="A1596" s="41"/>
    </row>
    <row r="1597" spans="1:1" x14ac:dyDescent="0.6">
      <c r="A1597" s="41"/>
    </row>
    <row r="1598" spans="1:1" x14ac:dyDescent="0.6">
      <c r="A1598" s="41"/>
    </row>
    <row r="1599" spans="1:1" x14ac:dyDescent="0.6">
      <c r="A1599" s="41"/>
    </row>
    <row r="1600" spans="1:1" x14ac:dyDescent="0.6">
      <c r="A1600" s="41"/>
    </row>
    <row r="1601" spans="1:1" x14ac:dyDescent="0.6">
      <c r="A1601" s="41"/>
    </row>
    <row r="1602" spans="1:1" x14ac:dyDescent="0.6">
      <c r="A1602" s="41"/>
    </row>
    <row r="1603" spans="1:1" x14ac:dyDescent="0.6">
      <c r="A1603" s="41"/>
    </row>
    <row r="1604" spans="1:1" x14ac:dyDescent="0.6">
      <c r="A1604" s="41"/>
    </row>
    <row r="1605" spans="1:1" x14ac:dyDescent="0.6">
      <c r="A1605" s="41"/>
    </row>
    <row r="1606" spans="1:1" x14ac:dyDescent="0.6">
      <c r="A1606" s="41"/>
    </row>
    <row r="1607" spans="1:1" x14ac:dyDescent="0.6">
      <c r="A1607" s="41"/>
    </row>
    <row r="1608" spans="1:1" x14ac:dyDescent="0.6">
      <c r="A1608" s="41"/>
    </row>
    <row r="1609" spans="1:1" x14ac:dyDescent="0.6">
      <c r="A1609" s="41"/>
    </row>
    <row r="1610" spans="1:1" x14ac:dyDescent="0.6">
      <c r="A1610" s="41"/>
    </row>
    <row r="1611" spans="1:1" x14ac:dyDescent="0.6">
      <c r="A1611" s="41"/>
    </row>
    <row r="1612" spans="1:1" x14ac:dyDescent="0.6">
      <c r="A1612" s="41"/>
    </row>
    <row r="1613" spans="1:1" x14ac:dyDescent="0.6">
      <c r="A1613" s="41"/>
    </row>
    <row r="1614" spans="1:1" x14ac:dyDescent="0.6">
      <c r="A1614" s="41"/>
    </row>
    <row r="1615" spans="1:1" x14ac:dyDescent="0.6">
      <c r="A1615" s="41"/>
    </row>
    <row r="1616" spans="1:1" x14ac:dyDescent="0.6">
      <c r="A1616" s="41"/>
    </row>
    <row r="1617" spans="1:1" x14ac:dyDescent="0.6">
      <c r="A1617" s="41"/>
    </row>
    <row r="1618" spans="1:1" x14ac:dyDescent="0.6">
      <c r="A1618" s="41"/>
    </row>
    <row r="1619" spans="1:1" x14ac:dyDescent="0.6">
      <c r="A1619" s="41"/>
    </row>
    <row r="1620" spans="1:1" x14ac:dyDescent="0.6">
      <c r="A1620" s="41"/>
    </row>
    <row r="1621" spans="1:1" x14ac:dyDescent="0.6">
      <c r="A1621" s="41"/>
    </row>
    <row r="1622" spans="1:1" x14ac:dyDescent="0.6">
      <c r="A1622" s="41"/>
    </row>
    <row r="1623" spans="1:1" x14ac:dyDescent="0.6">
      <c r="A1623" s="41"/>
    </row>
    <row r="1624" spans="1:1" x14ac:dyDescent="0.6">
      <c r="A1624" s="41"/>
    </row>
    <row r="1625" spans="1:1" x14ac:dyDescent="0.6">
      <c r="A1625" s="41"/>
    </row>
    <row r="1626" spans="1:1" x14ac:dyDescent="0.6">
      <c r="A1626" s="41"/>
    </row>
    <row r="1627" spans="1:1" x14ac:dyDescent="0.6">
      <c r="A1627" s="41"/>
    </row>
    <row r="1628" spans="1:1" x14ac:dyDescent="0.6">
      <c r="A1628" s="41"/>
    </row>
    <row r="1629" spans="1:1" x14ac:dyDescent="0.6">
      <c r="A1629" s="41"/>
    </row>
    <row r="1630" spans="1:1" x14ac:dyDescent="0.6">
      <c r="A1630" s="41"/>
    </row>
    <row r="1631" spans="1:1" x14ac:dyDescent="0.6">
      <c r="A1631" s="41"/>
    </row>
    <row r="1632" spans="1:1" x14ac:dyDescent="0.6">
      <c r="A1632" s="41"/>
    </row>
    <row r="1633" spans="1:1" x14ac:dyDescent="0.6">
      <c r="A1633" s="41"/>
    </row>
    <row r="1634" spans="1:1" x14ac:dyDescent="0.6">
      <c r="A1634" s="41"/>
    </row>
    <row r="1635" spans="1:1" x14ac:dyDescent="0.6">
      <c r="A1635" s="41"/>
    </row>
    <row r="1636" spans="1:1" x14ac:dyDescent="0.6">
      <c r="A1636" s="41"/>
    </row>
    <row r="1637" spans="1:1" x14ac:dyDescent="0.6">
      <c r="A1637" s="41"/>
    </row>
    <row r="1638" spans="1:1" x14ac:dyDescent="0.6">
      <c r="A1638" s="41"/>
    </row>
    <row r="1639" spans="1:1" x14ac:dyDescent="0.6">
      <c r="A1639" s="41"/>
    </row>
    <row r="1640" spans="1:1" x14ac:dyDescent="0.6">
      <c r="A1640" s="41"/>
    </row>
    <row r="1641" spans="1:1" x14ac:dyDescent="0.6">
      <c r="A1641" s="41"/>
    </row>
    <row r="1642" spans="1:1" x14ac:dyDescent="0.6">
      <c r="A1642" s="41"/>
    </row>
    <row r="1643" spans="1:1" x14ac:dyDescent="0.6">
      <c r="A1643" s="41"/>
    </row>
    <row r="1644" spans="1:1" x14ac:dyDescent="0.6">
      <c r="A1644" s="41"/>
    </row>
    <row r="1645" spans="1:1" x14ac:dyDescent="0.6">
      <c r="A1645" s="41"/>
    </row>
    <row r="1646" spans="1:1" x14ac:dyDescent="0.6">
      <c r="A1646" s="41"/>
    </row>
    <row r="1647" spans="1:1" x14ac:dyDescent="0.6">
      <c r="A1647" s="41"/>
    </row>
    <row r="1648" spans="1:1" x14ac:dyDescent="0.6">
      <c r="A1648" s="41"/>
    </row>
    <row r="1649" spans="1:1" x14ac:dyDescent="0.6">
      <c r="A1649" s="41"/>
    </row>
    <row r="1650" spans="1:1" x14ac:dyDescent="0.6">
      <c r="A1650" s="41"/>
    </row>
    <row r="1651" spans="1:1" x14ac:dyDescent="0.6">
      <c r="A1651" s="41"/>
    </row>
    <row r="1652" spans="1:1" x14ac:dyDescent="0.6">
      <c r="A1652" s="41"/>
    </row>
    <row r="1653" spans="1:1" x14ac:dyDescent="0.6">
      <c r="A1653" s="41"/>
    </row>
    <row r="1654" spans="1:1" x14ac:dyDescent="0.6">
      <c r="A1654" s="41"/>
    </row>
    <row r="1655" spans="1:1" x14ac:dyDescent="0.6">
      <c r="A1655" s="41"/>
    </row>
    <row r="1656" spans="1:1" x14ac:dyDescent="0.6">
      <c r="A1656" s="41"/>
    </row>
    <row r="1657" spans="1:1" x14ac:dyDescent="0.6">
      <c r="A1657" s="41"/>
    </row>
    <row r="1658" spans="1:1" x14ac:dyDescent="0.6">
      <c r="A1658" s="41"/>
    </row>
    <row r="1659" spans="1:1" x14ac:dyDescent="0.6">
      <c r="A1659" s="41"/>
    </row>
    <row r="1660" spans="1:1" x14ac:dyDescent="0.6">
      <c r="A1660" s="41"/>
    </row>
    <row r="1661" spans="1:1" x14ac:dyDescent="0.6">
      <c r="A1661" s="41"/>
    </row>
    <row r="1662" spans="1:1" x14ac:dyDescent="0.6">
      <c r="A1662" s="41"/>
    </row>
    <row r="1663" spans="1:1" x14ac:dyDescent="0.6">
      <c r="A1663" s="41"/>
    </row>
    <row r="1664" spans="1:1" x14ac:dyDescent="0.6">
      <c r="A1664" s="41"/>
    </row>
    <row r="1665" spans="1:1" x14ac:dyDescent="0.6">
      <c r="A1665" s="41"/>
    </row>
    <row r="1666" spans="1:1" x14ac:dyDescent="0.6">
      <c r="A1666" s="41"/>
    </row>
    <row r="1667" spans="1:1" x14ac:dyDescent="0.6">
      <c r="A1667" s="41"/>
    </row>
    <row r="1668" spans="1:1" x14ac:dyDescent="0.6">
      <c r="A1668" s="41"/>
    </row>
    <row r="1669" spans="1:1" x14ac:dyDescent="0.6">
      <c r="A1669" s="41"/>
    </row>
    <row r="1670" spans="1:1" x14ac:dyDescent="0.6">
      <c r="A1670" s="41"/>
    </row>
    <row r="1671" spans="1:1" x14ac:dyDescent="0.6">
      <c r="A1671" s="41"/>
    </row>
    <row r="1672" spans="1:1" x14ac:dyDescent="0.6">
      <c r="A1672" s="41"/>
    </row>
    <row r="1673" spans="1:1" x14ac:dyDescent="0.6">
      <c r="A1673" s="41"/>
    </row>
    <row r="1674" spans="1:1" x14ac:dyDescent="0.6">
      <c r="A1674" s="41"/>
    </row>
    <row r="1675" spans="1:1" x14ac:dyDescent="0.6">
      <c r="A1675" s="41"/>
    </row>
    <row r="1676" spans="1:1" x14ac:dyDescent="0.6">
      <c r="A1676" s="41"/>
    </row>
    <row r="1677" spans="1:1" x14ac:dyDescent="0.6">
      <c r="A1677" s="41"/>
    </row>
    <row r="1678" spans="1:1" x14ac:dyDescent="0.6">
      <c r="A1678" s="41"/>
    </row>
    <row r="1679" spans="1:1" x14ac:dyDescent="0.6">
      <c r="A1679" s="41"/>
    </row>
    <row r="1680" spans="1:1" x14ac:dyDescent="0.6">
      <c r="A1680" s="41"/>
    </row>
    <row r="1681" spans="1:1" x14ac:dyDescent="0.6">
      <c r="A1681" s="41"/>
    </row>
    <row r="1682" spans="1:1" x14ac:dyDescent="0.6">
      <c r="A1682" s="41"/>
    </row>
    <row r="1683" spans="1:1" x14ac:dyDescent="0.6">
      <c r="A1683" s="41"/>
    </row>
    <row r="1684" spans="1:1" x14ac:dyDescent="0.6">
      <c r="A1684" s="41"/>
    </row>
    <row r="1685" spans="1:1" x14ac:dyDescent="0.6">
      <c r="A1685" s="41"/>
    </row>
    <row r="1686" spans="1:1" x14ac:dyDescent="0.6">
      <c r="A1686" s="41"/>
    </row>
    <row r="1687" spans="1:1" x14ac:dyDescent="0.6">
      <c r="A1687" s="41"/>
    </row>
    <row r="1688" spans="1:1" x14ac:dyDescent="0.6">
      <c r="A1688" s="41"/>
    </row>
    <row r="1689" spans="1:1" x14ac:dyDescent="0.6">
      <c r="A1689" s="41"/>
    </row>
    <row r="1690" spans="1:1" x14ac:dyDescent="0.6">
      <c r="A1690" s="41"/>
    </row>
    <row r="1691" spans="1:1" x14ac:dyDescent="0.6">
      <c r="A1691" s="41"/>
    </row>
    <row r="1692" spans="1:1" x14ac:dyDescent="0.6">
      <c r="A1692" s="41"/>
    </row>
    <row r="1693" spans="1:1" x14ac:dyDescent="0.6">
      <c r="A1693" s="41"/>
    </row>
    <row r="1694" spans="1:1" x14ac:dyDescent="0.6">
      <c r="A1694" s="41"/>
    </row>
    <row r="1695" spans="1:1" x14ac:dyDescent="0.6">
      <c r="A1695" s="41"/>
    </row>
    <row r="1696" spans="1:1" x14ac:dyDescent="0.6">
      <c r="A1696" s="41"/>
    </row>
    <row r="1697" spans="1:1" x14ac:dyDescent="0.6">
      <c r="A1697" s="41"/>
    </row>
    <row r="1698" spans="1:1" x14ac:dyDescent="0.6">
      <c r="A1698" s="41"/>
    </row>
    <row r="1699" spans="1:1" x14ac:dyDescent="0.6">
      <c r="A1699" s="41"/>
    </row>
    <row r="1700" spans="1:1" x14ac:dyDescent="0.6">
      <c r="A1700" s="41"/>
    </row>
    <row r="1701" spans="1:1" x14ac:dyDescent="0.6">
      <c r="A1701" s="41"/>
    </row>
    <row r="1702" spans="1:1" x14ac:dyDescent="0.6">
      <c r="A1702" s="41"/>
    </row>
    <row r="1703" spans="1:1" x14ac:dyDescent="0.6">
      <c r="A1703" s="41"/>
    </row>
    <row r="1704" spans="1:1" x14ac:dyDescent="0.6">
      <c r="A1704" s="41"/>
    </row>
    <row r="1705" spans="1:1" x14ac:dyDescent="0.6">
      <c r="A1705" s="41"/>
    </row>
    <row r="1706" spans="1:1" x14ac:dyDescent="0.6">
      <c r="A1706" s="41"/>
    </row>
    <row r="1707" spans="1:1" x14ac:dyDescent="0.6">
      <c r="A1707" s="41"/>
    </row>
    <row r="1708" spans="1:1" x14ac:dyDescent="0.6">
      <c r="A1708" s="41"/>
    </row>
    <row r="1709" spans="1:1" x14ac:dyDescent="0.6">
      <c r="A1709" s="41"/>
    </row>
    <row r="1710" spans="1:1" x14ac:dyDescent="0.6">
      <c r="A1710" s="41"/>
    </row>
    <row r="1711" spans="1:1" x14ac:dyDescent="0.6">
      <c r="A1711" s="41"/>
    </row>
    <row r="1712" spans="1:1" x14ac:dyDescent="0.6">
      <c r="A1712" s="41"/>
    </row>
    <row r="1713" spans="1:1" x14ac:dyDescent="0.6">
      <c r="A1713" s="41"/>
    </row>
    <row r="1714" spans="1:1" x14ac:dyDescent="0.6">
      <c r="A1714" s="41"/>
    </row>
    <row r="1715" spans="1:1" x14ac:dyDescent="0.6">
      <c r="A1715" s="41"/>
    </row>
    <row r="1716" spans="1:1" x14ac:dyDescent="0.6">
      <c r="A1716" s="41"/>
    </row>
    <row r="1717" spans="1:1" x14ac:dyDescent="0.6">
      <c r="A1717" s="41"/>
    </row>
    <row r="1718" spans="1:1" x14ac:dyDescent="0.6">
      <c r="A1718" s="41"/>
    </row>
    <row r="1719" spans="1:1" x14ac:dyDescent="0.6">
      <c r="A1719" s="41"/>
    </row>
    <row r="1720" spans="1:1" x14ac:dyDescent="0.6">
      <c r="A1720" s="41"/>
    </row>
    <row r="1721" spans="1:1" x14ac:dyDescent="0.6">
      <c r="A1721" s="41"/>
    </row>
    <row r="1722" spans="1:1" x14ac:dyDescent="0.6">
      <c r="A1722" s="41"/>
    </row>
    <row r="1723" spans="1:1" x14ac:dyDescent="0.6">
      <c r="A1723" s="41"/>
    </row>
    <row r="1724" spans="1:1" x14ac:dyDescent="0.6">
      <c r="A1724" s="41"/>
    </row>
    <row r="1725" spans="1:1" x14ac:dyDescent="0.6">
      <c r="A1725" s="41"/>
    </row>
    <row r="1726" spans="1:1" x14ac:dyDescent="0.6">
      <c r="A1726" s="41"/>
    </row>
    <row r="1727" spans="1:1" x14ac:dyDescent="0.6">
      <c r="A1727" s="41"/>
    </row>
    <row r="1728" spans="1:1" x14ac:dyDescent="0.6">
      <c r="A1728" s="41"/>
    </row>
    <row r="1729" spans="1:1" x14ac:dyDescent="0.6">
      <c r="A1729" s="41"/>
    </row>
    <row r="1730" spans="1:1" x14ac:dyDescent="0.6">
      <c r="A1730" s="41"/>
    </row>
    <row r="1731" spans="1:1" x14ac:dyDescent="0.6">
      <c r="A1731" s="41"/>
    </row>
    <row r="1732" spans="1:1" x14ac:dyDescent="0.6">
      <c r="A1732" s="41"/>
    </row>
    <row r="1733" spans="1:1" x14ac:dyDescent="0.6">
      <c r="A1733" s="41"/>
    </row>
    <row r="1734" spans="1:1" x14ac:dyDescent="0.6">
      <c r="A1734" s="41"/>
    </row>
    <row r="1735" spans="1:1" x14ac:dyDescent="0.6">
      <c r="A1735" s="41"/>
    </row>
    <row r="1736" spans="1:1" x14ac:dyDescent="0.6">
      <c r="A1736" s="41"/>
    </row>
    <row r="1737" spans="1:1" x14ac:dyDescent="0.6">
      <c r="A1737" s="41"/>
    </row>
    <row r="1738" spans="1:1" x14ac:dyDescent="0.6">
      <c r="A1738" s="41"/>
    </row>
    <row r="1739" spans="1:1" x14ac:dyDescent="0.6">
      <c r="A1739" s="41"/>
    </row>
    <row r="1740" spans="1:1" x14ac:dyDescent="0.6">
      <c r="A1740" s="41"/>
    </row>
    <row r="1741" spans="1:1" x14ac:dyDescent="0.6">
      <c r="A1741" s="41"/>
    </row>
    <row r="1742" spans="1:1" x14ac:dyDescent="0.6">
      <c r="A1742" s="41"/>
    </row>
    <row r="1743" spans="1:1" x14ac:dyDescent="0.6">
      <c r="A1743" s="41"/>
    </row>
    <row r="1744" spans="1:1" x14ac:dyDescent="0.6">
      <c r="A1744" s="41"/>
    </row>
    <row r="1745" spans="1:1" x14ac:dyDescent="0.6">
      <c r="A1745" s="41"/>
    </row>
    <row r="1746" spans="1:1" x14ac:dyDescent="0.6">
      <c r="A1746" s="41"/>
    </row>
    <row r="1747" spans="1:1" x14ac:dyDescent="0.6">
      <c r="A1747" s="41"/>
    </row>
    <row r="1748" spans="1:1" x14ac:dyDescent="0.6">
      <c r="A1748" s="41"/>
    </row>
    <row r="1749" spans="1:1" x14ac:dyDescent="0.6">
      <c r="A1749" s="41"/>
    </row>
    <row r="1750" spans="1:1" x14ac:dyDescent="0.6">
      <c r="A1750" s="41"/>
    </row>
    <row r="1751" spans="1:1" x14ac:dyDescent="0.6">
      <c r="A1751" s="41"/>
    </row>
    <row r="1752" spans="1:1" x14ac:dyDescent="0.6">
      <c r="A1752" s="41"/>
    </row>
    <row r="1753" spans="1:1" x14ac:dyDescent="0.6">
      <c r="A1753" s="41"/>
    </row>
    <row r="1754" spans="1:1" x14ac:dyDescent="0.6">
      <c r="A1754" s="41"/>
    </row>
    <row r="1755" spans="1:1" x14ac:dyDescent="0.6">
      <c r="A1755" s="41"/>
    </row>
    <row r="1756" spans="1:1" x14ac:dyDescent="0.6">
      <c r="A1756" s="41"/>
    </row>
    <row r="1757" spans="1:1" x14ac:dyDescent="0.6">
      <c r="A1757" s="41"/>
    </row>
    <row r="1758" spans="1:1" x14ac:dyDescent="0.6">
      <c r="A1758" s="41"/>
    </row>
    <row r="1759" spans="1:1" x14ac:dyDescent="0.6">
      <c r="A1759" s="41"/>
    </row>
    <row r="1760" spans="1:1" x14ac:dyDescent="0.6">
      <c r="A1760" s="41"/>
    </row>
    <row r="1761" spans="1:1" x14ac:dyDescent="0.6">
      <c r="A1761" s="41"/>
    </row>
    <row r="1762" spans="1:1" x14ac:dyDescent="0.6">
      <c r="A1762" s="41"/>
    </row>
    <row r="1763" spans="1:1" x14ac:dyDescent="0.6">
      <c r="A1763" s="41"/>
    </row>
    <row r="1764" spans="1:1" x14ac:dyDescent="0.6">
      <c r="A1764" s="41"/>
    </row>
    <row r="1765" spans="1:1" x14ac:dyDescent="0.6">
      <c r="A1765" s="41"/>
    </row>
    <row r="1766" spans="1:1" x14ac:dyDescent="0.6">
      <c r="A1766" s="41"/>
    </row>
    <row r="1767" spans="1:1" x14ac:dyDescent="0.6">
      <c r="A1767" s="41"/>
    </row>
    <row r="1768" spans="1:1" x14ac:dyDescent="0.6">
      <c r="A1768" s="41"/>
    </row>
    <row r="1769" spans="1:1" x14ac:dyDescent="0.6">
      <c r="A1769" s="41"/>
    </row>
    <row r="1770" spans="1:1" x14ac:dyDescent="0.6">
      <c r="A1770" s="41"/>
    </row>
    <row r="1771" spans="1:1" x14ac:dyDescent="0.6">
      <c r="A1771" s="41"/>
    </row>
    <row r="1772" spans="1:1" x14ac:dyDescent="0.6">
      <c r="A1772" s="41"/>
    </row>
    <row r="1773" spans="1:1" x14ac:dyDescent="0.6">
      <c r="A1773" s="41"/>
    </row>
    <row r="1774" spans="1:1" x14ac:dyDescent="0.6">
      <c r="A1774" s="41"/>
    </row>
    <row r="1775" spans="1:1" x14ac:dyDescent="0.6">
      <c r="A1775" s="41"/>
    </row>
    <row r="1776" spans="1:1" x14ac:dyDescent="0.6">
      <c r="A1776" s="41"/>
    </row>
    <row r="1777" spans="1:1" x14ac:dyDescent="0.6">
      <c r="A1777" s="41"/>
    </row>
    <row r="1778" spans="1:1" x14ac:dyDescent="0.6">
      <c r="A1778" s="41"/>
    </row>
    <row r="1779" spans="1:1" x14ac:dyDescent="0.6">
      <c r="A1779" s="41"/>
    </row>
    <row r="1780" spans="1:1" x14ac:dyDescent="0.6">
      <c r="A1780" s="41"/>
    </row>
    <row r="1781" spans="1:1" x14ac:dyDescent="0.6">
      <c r="A1781" s="41"/>
    </row>
    <row r="1782" spans="1:1" x14ac:dyDescent="0.6">
      <c r="A1782" s="41"/>
    </row>
    <row r="1783" spans="1:1" x14ac:dyDescent="0.6">
      <c r="A1783" s="41"/>
    </row>
    <row r="1784" spans="1:1" x14ac:dyDescent="0.6">
      <c r="A1784" s="41"/>
    </row>
    <row r="1785" spans="1:1" x14ac:dyDescent="0.6">
      <c r="A1785" s="41"/>
    </row>
    <row r="1786" spans="1:1" x14ac:dyDescent="0.6">
      <c r="A1786" s="41"/>
    </row>
    <row r="1787" spans="1:1" x14ac:dyDescent="0.6">
      <c r="A1787" s="41"/>
    </row>
    <row r="1788" spans="1:1" x14ac:dyDescent="0.6">
      <c r="A1788" s="41"/>
    </row>
    <row r="1789" spans="1:1" x14ac:dyDescent="0.6">
      <c r="A1789" s="41"/>
    </row>
    <row r="1790" spans="1:1" x14ac:dyDescent="0.6">
      <c r="A1790" s="41"/>
    </row>
    <row r="1791" spans="1:1" x14ac:dyDescent="0.6">
      <c r="A1791" s="41"/>
    </row>
    <row r="1792" spans="1:1" x14ac:dyDescent="0.6">
      <c r="A1792" s="41"/>
    </row>
    <row r="1793" spans="1:1" x14ac:dyDescent="0.6">
      <c r="A1793" s="41"/>
    </row>
    <row r="1794" spans="1:1" x14ac:dyDescent="0.6">
      <c r="A1794" s="41"/>
    </row>
    <row r="1795" spans="1:1" x14ac:dyDescent="0.6">
      <c r="A1795" s="41"/>
    </row>
    <row r="1796" spans="1:1" x14ac:dyDescent="0.6">
      <c r="A1796" s="41"/>
    </row>
    <row r="1797" spans="1:1" x14ac:dyDescent="0.6">
      <c r="A1797" s="41"/>
    </row>
    <row r="1798" spans="1:1" x14ac:dyDescent="0.6">
      <c r="A1798" s="41"/>
    </row>
    <row r="1799" spans="1:1" x14ac:dyDescent="0.6">
      <c r="A1799" s="41"/>
    </row>
    <row r="1800" spans="1:1" x14ac:dyDescent="0.6">
      <c r="A1800" s="41"/>
    </row>
    <row r="1801" spans="1:1" x14ac:dyDescent="0.6">
      <c r="A1801" s="41"/>
    </row>
    <row r="1802" spans="1:1" x14ac:dyDescent="0.6">
      <c r="A1802" s="41"/>
    </row>
    <row r="1803" spans="1:1" x14ac:dyDescent="0.6">
      <c r="A1803" s="41"/>
    </row>
    <row r="1804" spans="1:1" x14ac:dyDescent="0.6">
      <c r="A1804" s="41"/>
    </row>
    <row r="1805" spans="1:1" x14ac:dyDescent="0.6">
      <c r="A1805" s="41"/>
    </row>
    <row r="1806" spans="1:1" x14ac:dyDescent="0.6">
      <c r="A1806" s="41"/>
    </row>
    <row r="1807" spans="1:1" x14ac:dyDescent="0.6">
      <c r="A1807" s="41"/>
    </row>
    <row r="1808" spans="1:1" x14ac:dyDescent="0.6">
      <c r="A1808" s="41"/>
    </row>
    <row r="1809" spans="1:1" x14ac:dyDescent="0.6">
      <c r="A1809" s="41"/>
    </row>
    <row r="1810" spans="1:1" x14ac:dyDescent="0.6">
      <c r="A1810" s="41"/>
    </row>
    <row r="1811" spans="1:1" x14ac:dyDescent="0.6">
      <c r="A1811" s="41"/>
    </row>
    <row r="1812" spans="1:1" x14ac:dyDescent="0.6">
      <c r="A1812" s="41"/>
    </row>
    <row r="1813" spans="1:1" x14ac:dyDescent="0.6">
      <c r="A1813" s="41"/>
    </row>
    <row r="1814" spans="1:1" x14ac:dyDescent="0.6">
      <c r="A1814" s="41"/>
    </row>
    <row r="1815" spans="1:1" x14ac:dyDescent="0.6">
      <c r="A1815" s="41"/>
    </row>
    <row r="1816" spans="1:1" x14ac:dyDescent="0.6">
      <c r="A1816" s="41"/>
    </row>
    <row r="1817" spans="1:1" x14ac:dyDescent="0.6">
      <c r="A1817" s="41"/>
    </row>
    <row r="1818" spans="1:1" x14ac:dyDescent="0.6">
      <c r="A1818" s="41"/>
    </row>
    <row r="1819" spans="1:1" x14ac:dyDescent="0.6">
      <c r="A1819" s="41"/>
    </row>
    <row r="1820" spans="1:1" x14ac:dyDescent="0.6">
      <c r="A1820" s="41"/>
    </row>
    <row r="1821" spans="1:1" x14ac:dyDescent="0.6">
      <c r="A1821" s="41"/>
    </row>
    <row r="1822" spans="1:1" x14ac:dyDescent="0.6">
      <c r="A1822" s="41"/>
    </row>
    <row r="1823" spans="1:1" x14ac:dyDescent="0.6">
      <c r="A1823" s="41"/>
    </row>
    <row r="1824" spans="1:1" x14ac:dyDescent="0.6">
      <c r="A1824" s="41"/>
    </row>
    <row r="1825" spans="1:1" x14ac:dyDescent="0.6">
      <c r="A1825" s="41"/>
    </row>
    <row r="1826" spans="1:1" x14ac:dyDescent="0.6">
      <c r="A1826" s="41"/>
    </row>
    <row r="1827" spans="1:1" x14ac:dyDescent="0.6">
      <c r="A1827" s="41"/>
    </row>
    <row r="1828" spans="1:1" x14ac:dyDescent="0.6">
      <c r="A1828" s="41"/>
    </row>
    <row r="1829" spans="1:1" x14ac:dyDescent="0.6">
      <c r="A1829" s="41"/>
    </row>
    <row r="1830" spans="1:1" x14ac:dyDescent="0.6">
      <c r="A1830" s="41"/>
    </row>
    <row r="1831" spans="1:1" x14ac:dyDescent="0.6">
      <c r="A1831" s="41"/>
    </row>
    <row r="1832" spans="1:1" x14ac:dyDescent="0.6">
      <c r="A1832" s="41"/>
    </row>
    <row r="1833" spans="1:1" x14ac:dyDescent="0.6">
      <c r="A1833" s="41"/>
    </row>
    <row r="1834" spans="1:1" x14ac:dyDescent="0.6">
      <c r="A1834" s="41"/>
    </row>
    <row r="1835" spans="1:1" x14ac:dyDescent="0.6">
      <c r="A1835" s="41"/>
    </row>
    <row r="1836" spans="1:1" x14ac:dyDescent="0.6">
      <c r="A1836" s="41"/>
    </row>
    <row r="1837" spans="1:1" x14ac:dyDescent="0.6">
      <c r="A1837" s="41"/>
    </row>
    <row r="1838" spans="1:1" x14ac:dyDescent="0.6">
      <c r="A1838" s="41"/>
    </row>
    <row r="1839" spans="1:1" x14ac:dyDescent="0.6">
      <c r="A1839" s="41"/>
    </row>
    <row r="1840" spans="1:1" x14ac:dyDescent="0.6">
      <c r="A1840" s="41"/>
    </row>
    <row r="1841" spans="1:1" x14ac:dyDescent="0.6">
      <c r="A1841" s="41"/>
    </row>
    <row r="1842" spans="1:1" x14ac:dyDescent="0.6">
      <c r="A1842" s="41"/>
    </row>
    <row r="1843" spans="1:1" x14ac:dyDescent="0.6">
      <c r="A1843" s="41"/>
    </row>
    <row r="1844" spans="1:1" x14ac:dyDescent="0.6">
      <c r="A1844" s="41"/>
    </row>
    <row r="1845" spans="1:1" x14ac:dyDescent="0.6">
      <c r="A1845" s="41"/>
    </row>
    <row r="1846" spans="1:1" x14ac:dyDescent="0.6">
      <c r="A1846" s="41"/>
    </row>
    <row r="1847" spans="1:1" x14ac:dyDescent="0.6">
      <c r="A1847" s="41"/>
    </row>
    <row r="1848" spans="1:1" x14ac:dyDescent="0.6">
      <c r="A1848" s="41"/>
    </row>
    <row r="1849" spans="1:1" x14ac:dyDescent="0.6">
      <c r="A1849" s="41"/>
    </row>
    <row r="1850" spans="1:1" x14ac:dyDescent="0.6">
      <c r="A1850" s="41"/>
    </row>
    <row r="1851" spans="1:1" x14ac:dyDescent="0.6">
      <c r="A1851" s="41"/>
    </row>
    <row r="1852" spans="1:1" x14ac:dyDescent="0.6">
      <c r="A1852" s="41"/>
    </row>
    <row r="1853" spans="1:1" x14ac:dyDescent="0.6">
      <c r="A1853" s="41"/>
    </row>
    <row r="1854" spans="1:1" x14ac:dyDescent="0.6">
      <c r="A1854" s="41"/>
    </row>
    <row r="1855" spans="1:1" x14ac:dyDescent="0.6">
      <c r="A1855" s="41"/>
    </row>
    <row r="1856" spans="1:1" x14ac:dyDescent="0.6">
      <c r="A1856" s="41"/>
    </row>
    <row r="1857" spans="1:1" x14ac:dyDescent="0.6">
      <c r="A1857" s="41"/>
    </row>
    <row r="1858" spans="1:1" x14ac:dyDescent="0.6">
      <c r="A1858" s="41"/>
    </row>
    <row r="1859" spans="1:1" x14ac:dyDescent="0.6">
      <c r="A1859" s="41"/>
    </row>
    <row r="1860" spans="1:1" x14ac:dyDescent="0.6">
      <c r="A1860" s="41"/>
    </row>
    <row r="1861" spans="1:1" x14ac:dyDescent="0.6">
      <c r="A1861" s="41"/>
    </row>
    <row r="1862" spans="1:1" x14ac:dyDescent="0.6">
      <c r="A1862" s="41"/>
    </row>
    <row r="1863" spans="1:1" x14ac:dyDescent="0.6">
      <c r="A1863" s="41"/>
    </row>
    <row r="1864" spans="1:1" x14ac:dyDescent="0.6">
      <c r="A1864" s="41"/>
    </row>
    <row r="1865" spans="1:1" x14ac:dyDescent="0.6">
      <c r="A1865" s="41"/>
    </row>
    <row r="1866" spans="1:1" x14ac:dyDescent="0.6">
      <c r="A1866" s="41"/>
    </row>
    <row r="1867" spans="1:1" x14ac:dyDescent="0.6">
      <c r="A1867" s="41"/>
    </row>
    <row r="1868" spans="1:1" x14ac:dyDescent="0.6">
      <c r="A1868" s="41"/>
    </row>
    <row r="1869" spans="1:1" x14ac:dyDescent="0.6">
      <c r="A1869" s="41"/>
    </row>
    <row r="1870" spans="1:1" x14ac:dyDescent="0.6">
      <c r="A1870" s="41"/>
    </row>
    <row r="1871" spans="1:1" x14ac:dyDescent="0.6">
      <c r="A1871" s="41"/>
    </row>
    <row r="1872" spans="1:1" x14ac:dyDescent="0.6">
      <c r="A1872" s="41"/>
    </row>
    <row r="1873" spans="1:1" x14ac:dyDescent="0.6">
      <c r="A1873" s="41"/>
    </row>
    <row r="1874" spans="1:1" x14ac:dyDescent="0.6">
      <c r="A1874" s="41"/>
    </row>
    <row r="1875" spans="1:1" x14ac:dyDescent="0.6">
      <c r="A1875" s="41"/>
    </row>
    <row r="1876" spans="1:1" x14ac:dyDescent="0.6">
      <c r="A1876" s="41"/>
    </row>
    <row r="1877" spans="1:1" x14ac:dyDescent="0.6">
      <c r="A1877" s="41"/>
    </row>
    <row r="1878" spans="1:1" x14ac:dyDescent="0.6">
      <c r="A1878" s="41"/>
    </row>
    <row r="1879" spans="1:1" x14ac:dyDescent="0.6">
      <c r="A1879" s="41"/>
    </row>
    <row r="1880" spans="1:1" x14ac:dyDescent="0.6">
      <c r="A1880" s="41"/>
    </row>
    <row r="1881" spans="1:1" x14ac:dyDescent="0.6">
      <c r="A1881" s="41"/>
    </row>
    <row r="1882" spans="1:1" x14ac:dyDescent="0.6">
      <c r="A1882" s="41"/>
    </row>
    <row r="1883" spans="1:1" x14ac:dyDescent="0.6">
      <c r="A1883" s="41"/>
    </row>
    <row r="1884" spans="1:1" x14ac:dyDescent="0.6">
      <c r="A1884" s="41"/>
    </row>
    <row r="1885" spans="1:1" x14ac:dyDescent="0.6">
      <c r="A1885" s="41"/>
    </row>
    <row r="1886" spans="1:1" x14ac:dyDescent="0.6">
      <c r="A1886" s="41"/>
    </row>
    <row r="1887" spans="1:1" x14ac:dyDescent="0.6">
      <c r="A1887" s="41"/>
    </row>
    <row r="1888" spans="1:1" x14ac:dyDescent="0.6">
      <c r="A1888" s="41"/>
    </row>
    <row r="1889" spans="1:1" x14ac:dyDescent="0.6">
      <c r="A1889" s="41"/>
    </row>
    <row r="1890" spans="1:1" x14ac:dyDescent="0.6">
      <c r="A1890" s="41"/>
    </row>
    <row r="1891" spans="1:1" x14ac:dyDescent="0.6">
      <c r="A1891" s="41"/>
    </row>
    <row r="1892" spans="1:1" x14ac:dyDescent="0.6">
      <c r="A1892" s="41"/>
    </row>
    <row r="1893" spans="1:1" x14ac:dyDescent="0.6">
      <c r="A1893" s="41"/>
    </row>
    <row r="1894" spans="1:1" x14ac:dyDescent="0.6">
      <c r="A1894" s="41"/>
    </row>
    <row r="1895" spans="1:1" x14ac:dyDescent="0.6">
      <c r="A1895" s="41"/>
    </row>
    <row r="1896" spans="1:1" x14ac:dyDescent="0.6">
      <c r="A1896" s="41"/>
    </row>
    <row r="1897" spans="1:1" x14ac:dyDescent="0.6">
      <c r="A1897" s="41"/>
    </row>
    <row r="1898" spans="1:1" x14ac:dyDescent="0.6">
      <c r="A1898" s="41"/>
    </row>
    <row r="1899" spans="1:1" x14ac:dyDescent="0.6">
      <c r="A1899" s="41"/>
    </row>
    <row r="1900" spans="1:1" x14ac:dyDescent="0.6">
      <c r="A1900" s="41"/>
    </row>
    <row r="1901" spans="1:1" x14ac:dyDescent="0.6">
      <c r="A1901" s="41"/>
    </row>
    <row r="1902" spans="1:1" x14ac:dyDescent="0.6">
      <c r="A1902" s="41"/>
    </row>
    <row r="1903" spans="1:1" x14ac:dyDescent="0.6">
      <c r="A1903" s="41"/>
    </row>
    <row r="1904" spans="1:1" x14ac:dyDescent="0.6">
      <c r="A1904" s="41"/>
    </row>
    <row r="1905" spans="1:1" x14ac:dyDescent="0.6">
      <c r="A1905" s="41"/>
    </row>
    <row r="1906" spans="1:1" x14ac:dyDescent="0.6">
      <c r="A1906" s="41"/>
    </row>
    <row r="1907" spans="1:1" x14ac:dyDescent="0.6">
      <c r="A1907" s="41"/>
    </row>
    <row r="1908" spans="1:1" x14ac:dyDescent="0.6">
      <c r="A1908" s="41"/>
    </row>
    <row r="1909" spans="1:1" x14ac:dyDescent="0.6">
      <c r="A1909" s="41"/>
    </row>
    <row r="1910" spans="1:1" x14ac:dyDescent="0.6">
      <c r="A1910" s="41"/>
    </row>
    <row r="1911" spans="1:1" x14ac:dyDescent="0.6">
      <c r="A1911" s="41"/>
    </row>
    <row r="1912" spans="1:1" x14ac:dyDescent="0.6">
      <c r="A1912" s="41"/>
    </row>
    <row r="1913" spans="1:1" x14ac:dyDescent="0.6">
      <c r="A1913" s="41"/>
    </row>
    <row r="1914" spans="1:1" x14ac:dyDescent="0.6">
      <c r="A1914" s="41"/>
    </row>
    <row r="1915" spans="1:1" x14ac:dyDescent="0.6">
      <c r="A1915" s="41"/>
    </row>
    <row r="1916" spans="1:1" x14ac:dyDescent="0.6">
      <c r="A1916" s="41"/>
    </row>
    <row r="1917" spans="1:1" x14ac:dyDescent="0.6">
      <c r="A1917" s="41"/>
    </row>
    <row r="1918" spans="1:1" x14ac:dyDescent="0.6">
      <c r="A1918" s="41"/>
    </row>
    <row r="1919" spans="1:1" x14ac:dyDescent="0.6">
      <c r="A1919" s="41"/>
    </row>
    <row r="1920" spans="1:1" x14ac:dyDescent="0.6">
      <c r="A1920" s="41"/>
    </row>
    <row r="1921" spans="1:1" x14ac:dyDescent="0.6">
      <c r="A1921" s="41"/>
    </row>
    <row r="1922" spans="1:1" x14ac:dyDescent="0.6">
      <c r="A1922" s="41"/>
    </row>
    <row r="1923" spans="1:1" x14ac:dyDescent="0.6">
      <c r="A1923" s="41"/>
    </row>
    <row r="1924" spans="1:1" x14ac:dyDescent="0.6">
      <c r="A1924" s="41"/>
    </row>
    <row r="1925" spans="1:1" x14ac:dyDescent="0.6">
      <c r="A1925" s="41"/>
    </row>
    <row r="1926" spans="1:1" x14ac:dyDescent="0.6">
      <c r="A1926" s="41"/>
    </row>
    <row r="1927" spans="1:1" x14ac:dyDescent="0.6">
      <c r="A1927" s="41"/>
    </row>
    <row r="1928" spans="1:1" x14ac:dyDescent="0.6">
      <c r="A1928" s="41"/>
    </row>
    <row r="1929" spans="1:1" x14ac:dyDescent="0.6">
      <c r="A1929" s="41"/>
    </row>
    <row r="1930" spans="1:1" x14ac:dyDescent="0.6">
      <c r="A1930" s="41"/>
    </row>
    <row r="1931" spans="1:1" x14ac:dyDescent="0.6">
      <c r="A1931" s="41"/>
    </row>
    <row r="1932" spans="1:1" x14ac:dyDescent="0.6">
      <c r="A1932" s="41"/>
    </row>
    <row r="1933" spans="1:1" x14ac:dyDescent="0.6">
      <c r="A1933" s="41"/>
    </row>
    <row r="1934" spans="1:1" x14ac:dyDescent="0.6">
      <c r="A1934" s="41"/>
    </row>
    <row r="1935" spans="1:1" x14ac:dyDescent="0.6">
      <c r="A1935" s="41"/>
    </row>
    <row r="1936" spans="1:1" x14ac:dyDescent="0.6">
      <c r="A1936" s="41"/>
    </row>
    <row r="1937" spans="1:1" x14ac:dyDescent="0.6">
      <c r="A1937" s="41"/>
    </row>
    <row r="1938" spans="1:1" x14ac:dyDescent="0.6">
      <c r="A1938" s="41"/>
    </row>
    <row r="1939" spans="1:1" x14ac:dyDescent="0.6">
      <c r="A1939" s="41"/>
    </row>
    <row r="1940" spans="1:1" x14ac:dyDescent="0.6">
      <c r="A1940" s="41"/>
    </row>
    <row r="1941" spans="1:1" x14ac:dyDescent="0.6">
      <c r="A1941" s="41"/>
    </row>
    <row r="1942" spans="1:1" x14ac:dyDescent="0.6">
      <c r="A1942" s="41"/>
    </row>
    <row r="1943" spans="1:1" x14ac:dyDescent="0.6">
      <c r="A1943" s="41"/>
    </row>
    <row r="1944" spans="1:1" x14ac:dyDescent="0.6">
      <c r="A1944" s="41"/>
    </row>
    <row r="1945" spans="1:1" x14ac:dyDescent="0.6">
      <c r="A1945" s="41"/>
    </row>
    <row r="1946" spans="1:1" x14ac:dyDescent="0.6">
      <c r="A1946" s="41"/>
    </row>
    <row r="1947" spans="1:1" x14ac:dyDescent="0.6">
      <c r="A1947" s="41"/>
    </row>
    <row r="1948" spans="1:1" x14ac:dyDescent="0.6">
      <c r="A1948" s="41"/>
    </row>
    <row r="1949" spans="1:1" x14ac:dyDescent="0.6">
      <c r="A1949" s="41"/>
    </row>
    <row r="1950" spans="1:1" x14ac:dyDescent="0.6">
      <c r="A1950" s="41"/>
    </row>
    <row r="1951" spans="1:1" x14ac:dyDescent="0.6">
      <c r="A1951" s="41"/>
    </row>
    <row r="1952" spans="1:1" x14ac:dyDescent="0.6">
      <c r="A1952" s="41"/>
    </row>
    <row r="1953" spans="1:1" x14ac:dyDescent="0.6">
      <c r="A1953" s="41"/>
    </row>
    <row r="1954" spans="1:1" x14ac:dyDescent="0.6">
      <c r="A1954" s="41"/>
    </row>
    <row r="1955" spans="1:1" x14ac:dyDescent="0.6">
      <c r="A1955" s="41"/>
    </row>
    <row r="1956" spans="1:1" x14ac:dyDescent="0.6">
      <c r="A1956" s="41"/>
    </row>
    <row r="1957" spans="1:1" x14ac:dyDescent="0.6">
      <c r="A1957" s="41"/>
    </row>
    <row r="1958" spans="1:1" x14ac:dyDescent="0.6">
      <c r="A1958" s="41"/>
    </row>
    <row r="1959" spans="1:1" x14ac:dyDescent="0.6">
      <c r="A1959" s="41"/>
    </row>
    <row r="1960" spans="1:1" x14ac:dyDescent="0.6">
      <c r="A1960" s="41"/>
    </row>
    <row r="1961" spans="1:1" x14ac:dyDescent="0.6">
      <c r="A1961" s="41"/>
    </row>
    <row r="1962" spans="1:1" x14ac:dyDescent="0.6">
      <c r="A1962" s="41"/>
    </row>
    <row r="1963" spans="1:1" x14ac:dyDescent="0.6">
      <c r="A1963" s="41"/>
    </row>
    <row r="1964" spans="1:1" x14ac:dyDescent="0.6">
      <c r="A1964" s="41"/>
    </row>
    <row r="1965" spans="1:1" x14ac:dyDescent="0.6">
      <c r="A1965" s="41"/>
    </row>
    <row r="1966" spans="1:1" x14ac:dyDescent="0.6">
      <c r="A1966" s="41"/>
    </row>
    <row r="1967" spans="1:1" x14ac:dyDescent="0.6">
      <c r="A1967" s="41"/>
    </row>
    <row r="1968" spans="1:1" x14ac:dyDescent="0.6">
      <c r="A1968" s="41"/>
    </row>
    <row r="1969" spans="1:1" x14ac:dyDescent="0.6">
      <c r="A1969" s="41"/>
    </row>
    <row r="1970" spans="1:1" x14ac:dyDescent="0.6">
      <c r="A1970" s="41"/>
    </row>
    <row r="1971" spans="1:1" x14ac:dyDescent="0.6">
      <c r="A1971" s="41"/>
    </row>
    <row r="1972" spans="1:1" x14ac:dyDescent="0.6">
      <c r="A1972" s="41"/>
    </row>
    <row r="1973" spans="1:1" x14ac:dyDescent="0.6">
      <c r="A1973" s="41"/>
    </row>
    <row r="1974" spans="1:1" x14ac:dyDescent="0.6">
      <c r="A1974" s="41"/>
    </row>
    <row r="1975" spans="1:1" x14ac:dyDescent="0.6">
      <c r="A1975" s="41"/>
    </row>
    <row r="1976" spans="1:1" x14ac:dyDescent="0.6">
      <c r="A1976" s="41"/>
    </row>
    <row r="1977" spans="1:1" x14ac:dyDescent="0.6">
      <c r="A1977" s="41"/>
    </row>
    <row r="1978" spans="1:1" x14ac:dyDescent="0.6">
      <c r="A1978" s="41"/>
    </row>
    <row r="1979" spans="1:1" x14ac:dyDescent="0.6">
      <c r="A1979" s="41"/>
    </row>
    <row r="1980" spans="1:1" x14ac:dyDescent="0.6">
      <c r="A1980" s="41"/>
    </row>
    <row r="1981" spans="1:1" x14ac:dyDescent="0.6">
      <c r="A1981" s="41"/>
    </row>
    <row r="1982" spans="1:1" x14ac:dyDescent="0.6">
      <c r="A1982" s="41"/>
    </row>
    <row r="1983" spans="1:1" x14ac:dyDescent="0.6">
      <c r="A1983" s="41"/>
    </row>
    <row r="1984" spans="1:1" x14ac:dyDescent="0.6">
      <c r="A1984" s="41"/>
    </row>
    <row r="1985" spans="1:1" x14ac:dyDescent="0.6">
      <c r="A1985" s="41"/>
    </row>
    <row r="1986" spans="1:1" x14ac:dyDescent="0.6">
      <c r="A1986" s="41"/>
    </row>
    <row r="1987" spans="1:1" x14ac:dyDescent="0.6">
      <c r="A1987" s="41"/>
    </row>
    <row r="1988" spans="1:1" x14ac:dyDescent="0.6">
      <c r="A1988" s="41"/>
    </row>
    <row r="1989" spans="1:1" x14ac:dyDescent="0.6">
      <c r="A1989" s="41"/>
    </row>
    <row r="1990" spans="1:1" x14ac:dyDescent="0.6">
      <c r="A1990" s="41"/>
    </row>
    <row r="1991" spans="1:1" x14ac:dyDescent="0.6">
      <c r="A1991" s="41"/>
    </row>
    <row r="1992" spans="1:1" x14ac:dyDescent="0.6">
      <c r="A1992" s="41"/>
    </row>
    <row r="1993" spans="1:1" x14ac:dyDescent="0.6">
      <c r="A1993" s="41"/>
    </row>
    <row r="1994" spans="1:1" x14ac:dyDescent="0.6">
      <c r="A1994" s="41"/>
    </row>
    <row r="1995" spans="1:1" x14ac:dyDescent="0.6">
      <c r="A1995" s="41"/>
    </row>
    <row r="1996" spans="1:1" x14ac:dyDescent="0.6">
      <c r="A1996" s="41"/>
    </row>
    <row r="1997" spans="1:1" x14ac:dyDescent="0.6">
      <c r="A1997" s="41"/>
    </row>
    <row r="1998" spans="1:1" x14ac:dyDescent="0.6">
      <c r="A1998" s="41"/>
    </row>
    <row r="1999" spans="1:1" x14ac:dyDescent="0.6">
      <c r="A1999" s="41"/>
    </row>
    <row r="2000" spans="1:1" x14ac:dyDescent="0.6">
      <c r="A2000" s="41"/>
    </row>
    <row r="2001" spans="1:1" x14ac:dyDescent="0.6">
      <c r="A2001" s="41"/>
    </row>
    <row r="2002" spans="1:1" x14ac:dyDescent="0.6">
      <c r="A2002" s="41"/>
    </row>
    <row r="2003" spans="1:1" x14ac:dyDescent="0.6">
      <c r="A2003" s="41"/>
    </row>
    <row r="2004" spans="1:1" x14ac:dyDescent="0.6">
      <c r="A2004" s="41"/>
    </row>
    <row r="2005" spans="1:1" x14ac:dyDescent="0.6">
      <c r="A2005" s="41"/>
    </row>
    <row r="2006" spans="1:1" x14ac:dyDescent="0.6">
      <c r="A2006" s="41"/>
    </row>
    <row r="2007" spans="1:1" x14ac:dyDescent="0.6">
      <c r="A2007" s="41"/>
    </row>
    <row r="2008" spans="1:1" x14ac:dyDescent="0.6">
      <c r="A2008" s="41"/>
    </row>
    <row r="2009" spans="1:1" x14ac:dyDescent="0.6">
      <c r="A2009" s="41"/>
    </row>
    <row r="2010" spans="1:1" x14ac:dyDescent="0.6">
      <c r="A2010" s="41"/>
    </row>
    <row r="2011" spans="1:1" x14ac:dyDescent="0.6">
      <c r="A2011" s="41"/>
    </row>
    <row r="2012" spans="1:1" x14ac:dyDescent="0.6">
      <c r="A2012" s="41"/>
    </row>
    <row r="2013" spans="1:1" x14ac:dyDescent="0.6">
      <c r="A2013" s="41"/>
    </row>
    <row r="2014" spans="1:1" x14ac:dyDescent="0.6">
      <c r="A2014" s="41"/>
    </row>
    <row r="2015" spans="1:1" x14ac:dyDescent="0.6">
      <c r="A2015" s="41"/>
    </row>
    <row r="2016" spans="1:1" x14ac:dyDescent="0.6">
      <c r="A2016" s="41"/>
    </row>
    <row r="2017" spans="1:1" x14ac:dyDescent="0.6">
      <c r="A2017" s="41"/>
    </row>
    <row r="2018" spans="1:1" x14ac:dyDescent="0.6">
      <c r="A2018" s="41"/>
    </row>
    <row r="2019" spans="1:1" x14ac:dyDescent="0.6">
      <c r="A2019" s="41"/>
    </row>
    <row r="2020" spans="1:1" x14ac:dyDescent="0.6">
      <c r="A2020" s="41"/>
    </row>
    <row r="2021" spans="1:1" x14ac:dyDescent="0.6">
      <c r="A2021" s="41"/>
    </row>
    <row r="2022" spans="1:1" x14ac:dyDescent="0.6">
      <c r="A2022" s="41"/>
    </row>
    <row r="2023" spans="1:1" x14ac:dyDescent="0.6">
      <c r="A2023" s="41"/>
    </row>
    <row r="2024" spans="1:1" x14ac:dyDescent="0.6">
      <c r="A2024" s="41"/>
    </row>
    <row r="2025" spans="1:1" x14ac:dyDescent="0.6">
      <c r="A2025" s="41"/>
    </row>
    <row r="2026" spans="1:1" x14ac:dyDescent="0.6">
      <c r="A2026" s="41"/>
    </row>
    <row r="2027" spans="1:1" x14ac:dyDescent="0.6">
      <c r="A2027" s="41"/>
    </row>
    <row r="2028" spans="1:1" x14ac:dyDescent="0.6">
      <c r="A2028" s="41"/>
    </row>
    <row r="2029" spans="1:1" x14ac:dyDescent="0.6">
      <c r="A2029" s="41"/>
    </row>
    <row r="2030" spans="1:1" x14ac:dyDescent="0.6">
      <c r="A2030" s="41"/>
    </row>
    <row r="2031" spans="1:1" x14ac:dyDescent="0.6">
      <c r="A2031" s="41"/>
    </row>
    <row r="2032" spans="1:1" x14ac:dyDescent="0.6">
      <c r="A2032" s="41"/>
    </row>
    <row r="2033" spans="1:1" x14ac:dyDescent="0.6">
      <c r="A2033" s="41"/>
    </row>
    <row r="2034" spans="1:1" x14ac:dyDescent="0.6">
      <c r="A2034" s="41"/>
    </row>
    <row r="2035" spans="1:1" x14ac:dyDescent="0.6">
      <c r="A2035" s="41"/>
    </row>
    <row r="2036" spans="1:1" x14ac:dyDescent="0.6">
      <c r="A2036" s="41"/>
    </row>
    <row r="2037" spans="1:1" x14ac:dyDescent="0.6">
      <c r="A2037" s="41"/>
    </row>
    <row r="2038" spans="1:1" x14ac:dyDescent="0.6">
      <c r="A2038" s="41"/>
    </row>
    <row r="2039" spans="1:1" x14ac:dyDescent="0.6">
      <c r="A2039" s="41"/>
    </row>
    <row r="2040" spans="1:1" x14ac:dyDescent="0.6">
      <c r="A2040" s="41"/>
    </row>
    <row r="2041" spans="1:1" x14ac:dyDescent="0.6">
      <c r="A2041" s="41"/>
    </row>
    <row r="2042" spans="1:1" x14ac:dyDescent="0.6">
      <c r="A2042" s="41"/>
    </row>
    <row r="2043" spans="1:1" x14ac:dyDescent="0.6">
      <c r="A2043" s="41"/>
    </row>
    <row r="2044" spans="1:1" x14ac:dyDescent="0.6">
      <c r="A2044" s="41"/>
    </row>
    <row r="2045" spans="1:1" x14ac:dyDescent="0.6">
      <c r="A2045" s="41"/>
    </row>
    <row r="2046" spans="1:1" x14ac:dyDescent="0.6">
      <c r="A2046" s="41"/>
    </row>
    <row r="2047" spans="1:1" x14ac:dyDescent="0.6">
      <c r="A2047" s="41"/>
    </row>
    <row r="2048" spans="1:1" x14ac:dyDescent="0.6">
      <c r="A2048" s="41"/>
    </row>
    <row r="2049" spans="1:1" x14ac:dyDescent="0.6">
      <c r="A2049" s="41"/>
    </row>
    <row r="2050" spans="1:1" x14ac:dyDescent="0.6">
      <c r="A2050" s="41"/>
    </row>
    <row r="2051" spans="1:1" x14ac:dyDescent="0.6">
      <c r="A2051" s="41"/>
    </row>
    <row r="2052" spans="1:1" x14ac:dyDescent="0.6">
      <c r="A2052" s="41"/>
    </row>
    <row r="2053" spans="1:1" x14ac:dyDescent="0.6">
      <c r="A2053" s="41"/>
    </row>
    <row r="2054" spans="1:1" x14ac:dyDescent="0.6">
      <c r="A2054" s="41"/>
    </row>
    <row r="2055" spans="1:1" x14ac:dyDescent="0.6">
      <c r="A2055" s="41"/>
    </row>
    <row r="2056" spans="1:1" x14ac:dyDescent="0.6">
      <c r="A2056" s="41"/>
    </row>
    <row r="2057" spans="1:1" x14ac:dyDescent="0.6">
      <c r="A2057" s="41"/>
    </row>
    <row r="2058" spans="1:1" x14ac:dyDescent="0.6">
      <c r="A2058" s="41"/>
    </row>
    <row r="2059" spans="1:1" x14ac:dyDescent="0.6">
      <c r="A2059" s="41"/>
    </row>
    <row r="2060" spans="1:1" x14ac:dyDescent="0.6">
      <c r="A2060" s="41"/>
    </row>
    <row r="2061" spans="1:1" x14ac:dyDescent="0.6">
      <c r="A2061" s="41"/>
    </row>
    <row r="2062" spans="1:1" x14ac:dyDescent="0.6">
      <c r="A2062" s="41"/>
    </row>
    <row r="2063" spans="1:1" x14ac:dyDescent="0.6">
      <c r="A2063" s="41"/>
    </row>
    <row r="2064" spans="1:1" x14ac:dyDescent="0.6">
      <c r="A2064" s="41"/>
    </row>
    <row r="2065" spans="1:1" x14ac:dyDescent="0.6">
      <c r="A2065" s="41"/>
    </row>
    <row r="2066" spans="1:1" x14ac:dyDescent="0.6">
      <c r="A2066" s="41"/>
    </row>
    <row r="2067" spans="1:1" x14ac:dyDescent="0.6">
      <c r="A2067" s="41"/>
    </row>
    <row r="2068" spans="1:1" x14ac:dyDescent="0.6">
      <c r="A2068" s="41"/>
    </row>
    <row r="2069" spans="1:1" x14ac:dyDescent="0.6">
      <c r="A2069" s="41"/>
    </row>
    <row r="2070" spans="1:1" x14ac:dyDescent="0.6">
      <c r="A2070" s="41"/>
    </row>
    <row r="2071" spans="1:1" x14ac:dyDescent="0.6">
      <c r="A2071" s="41"/>
    </row>
    <row r="2072" spans="1:1" x14ac:dyDescent="0.6">
      <c r="A2072" s="41"/>
    </row>
    <row r="2073" spans="1:1" x14ac:dyDescent="0.6">
      <c r="A2073" s="41"/>
    </row>
    <row r="2074" spans="1:1" x14ac:dyDescent="0.6">
      <c r="A2074" s="41"/>
    </row>
    <row r="2075" spans="1:1" x14ac:dyDescent="0.6">
      <c r="A2075" s="41"/>
    </row>
    <row r="2076" spans="1:1" x14ac:dyDescent="0.6">
      <c r="A2076" s="41"/>
    </row>
    <row r="2077" spans="1:1" x14ac:dyDescent="0.6">
      <c r="A2077" s="41"/>
    </row>
    <row r="2078" spans="1:1" x14ac:dyDescent="0.6">
      <c r="A2078" s="41"/>
    </row>
    <row r="2079" spans="1:1" x14ac:dyDescent="0.6">
      <c r="A2079" s="41"/>
    </row>
    <row r="2080" spans="1:1" x14ac:dyDescent="0.6">
      <c r="A2080" s="41"/>
    </row>
    <row r="2081" spans="1:1" x14ac:dyDescent="0.6">
      <c r="A2081" s="41"/>
    </row>
    <row r="2082" spans="1:1" x14ac:dyDescent="0.6">
      <c r="A2082" s="41"/>
    </row>
    <row r="2083" spans="1:1" x14ac:dyDescent="0.6">
      <c r="A2083" s="41"/>
    </row>
    <row r="2084" spans="1:1" x14ac:dyDescent="0.6">
      <c r="A2084" s="41"/>
    </row>
    <row r="2085" spans="1:1" x14ac:dyDescent="0.6">
      <c r="A2085" s="41"/>
    </row>
    <row r="2086" spans="1:1" x14ac:dyDescent="0.6">
      <c r="A2086" s="41"/>
    </row>
    <row r="2087" spans="1:1" x14ac:dyDescent="0.6">
      <c r="A2087" s="41"/>
    </row>
    <row r="2088" spans="1:1" x14ac:dyDescent="0.6">
      <c r="A2088" s="41"/>
    </row>
    <row r="2089" spans="1:1" x14ac:dyDescent="0.6">
      <c r="A2089" s="41"/>
    </row>
    <row r="2090" spans="1:1" x14ac:dyDescent="0.6">
      <c r="A2090" s="41"/>
    </row>
    <row r="2091" spans="1:1" x14ac:dyDescent="0.6">
      <c r="A2091" s="41"/>
    </row>
    <row r="2092" spans="1:1" x14ac:dyDescent="0.6">
      <c r="A2092" s="41"/>
    </row>
    <row r="2093" spans="1:1" x14ac:dyDescent="0.6">
      <c r="A2093" s="41"/>
    </row>
    <row r="2094" spans="1:1" x14ac:dyDescent="0.6">
      <c r="A2094" s="41"/>
    </row>
    <row r="2095" spans="1:1" x14ac:dyDescent="0.6">
      <c r="A2095" s="41"/>
    </row>
    <row r="2096" spans="1:1" x14ac:dyDescent="0.6">
      <c r="A2096" s="41"/>
    </row>
    <row r="2097" spans="1:1" x14ac:dyDescent="0.6">
      <c r="A2097" s="41"/>
    </row>
    <row r="2098" spans="1:1" x14ac:dyDescent="0.6">
      <c r="A2098" s="41"/>
    </row>
    <row r="2099" spans="1:1" x14ac:dyDescent="0.6">
      <c r="A2099" s="41"/>
    </row>
    <row r="2100" spans="1:1" x14ac:dyDescent="0.6">
      <c r="A2100" s="41"/>
    </row>
    <row r="2101" spans="1:1" x14ac:dyDescent="0.6">
      <c r="A2101" s="41"/>
    </row>
    <row r="2102" spans="1:1" x14ac:dyDescent="0.6">
      <c r="A2102" s="41"/>
    </row>
    <row r="2103" spans="1:1" x14ac:dyDescent="0.6">
      <c r="A2103" s="41"/>
    </row>
    <row r="2104" spans="1:1" x14ac:dyDescent="0.6">
      <c r="A2104" s="41"/>
    </row>
    <row r="2105" spans="1:1" x14ac:dyDescent="0.6">
      <c r="A2105" s="41"/>
    </row>
    <row r="2106" spans="1:1" x14ac:dyDescent="0.6">
      <c r="A2106" s="41"/>
    </row>
    <row r="2107" spans="1:1" x14ac:dyDescent="0.6">
      <c r="A2107" s="41"/>
    </row>
    <row r="2108" spans="1:1" x14ac:dyDescent="0.6">
      <c r="A2108" s="41"/>
    </row>
    <row r="2109" spans="1:1" x14ac:dyDescent="0.6">
      <c r="A2109" s="41"/>
    </row>
    <row r="2110" spans="1:1" x14ac:dyDescent="0.6">
      <c r="A2110" s="41"/>
    </row>
    <row r="2111" spans="1:1" x14ac:dyDescent="0.6">
      <c r="A2111" s="41"/>
    </row>
    <row r="2112" spans="1:1" x14ac:dyDescent="0.6">
      <c r="A2112" s="41"/>
    </row>
    <row r="2113" spans="1:1" x14ac:dyDescent="0.6">
      <c r="A2113" s="41"/>
    </row>
    <row r="2114" spans="1:1" x14ac:dyDescent="0.6">
      <c r="A2114" s="41"/>
    </row>
    <row r="2115" spans="1:1" x14ac:dyDescent="0.6">
      <c r="A2115" s="41"/>
    </row>
    <row r="2116" spans="1:1" x14ac:dyDescent="0.6">
      <c r="A2116" s="41"/>
    </row>
    <row r="2117" spans="1:1" x14ac:dyDescent="0.6">
      <c r="A2117" s="41"/>
    </row>
    <row r="2118" spans="1:1" x14ac:dyDescent="0.6">
      <c r="A2118" s="41"/>
    </row>
    <row r="2119" spans="1:1" x14ac:dyDescent="0.6">
      <c r="A2119" s="41"/>
    </row>
    <row r="2120" spans="1:1" x14ac:dyDescent="0.6">
      <c r="A2120" s="41"/>
    </row>
    <row r="2121" spans="1:1" x14ac:dyDescent="0.6">
      <c r="A2121" s="41"/>
    </row>
    <row r="2122" spans="1:1" x14ac:dyDescent="0.6">
      <c r="A2122" s="41"/>
    </row>
    <row r="2123" spans="1:1" x14ac:dyDescent="0.6">
      <c r="A2123" s="41"/>
    </row>
    <row r="2124" spans="1:1" x14ac:dyDescent="0.6">
      <c r="A2124" s="41"/>
    </row>
    <row r="2125" spans="1:1" x14ac:dyDescent="0.6">
      <c r="A2125" s="41"/>
    </row>
    <row r="2126" spans="1:1" x14ac:dyDescent="0.6">
      <c r="A2126" s="41"/>
    </row>
    <row r="2127" spans="1:1" x14ac:dyDescent="0.6">
      <c r="A2127" s="41"/>
    </row>
    <row r="2128" spans="1:1" x14ac:dyDescent="0.6">
      <c r="A2128" s="41"/>
    </row>
    <row r="2129" spans="1:1" x14ac:dyDescent="0.6">
      <c r="A2129" s="41"/>
    </row>
    <row r="2130" spans="1:1" x14ac:dyDescent="0.6">
      <c r="A2130" s="41"/>
    </row>
    <row r="2131" spans="1:1" x14ac:dyDescent="0.6">
      <c r="A2131" s="41"/>
    </row>
    <row r="2132" spans="1:1" x14ac:dyDescent="0.6">
      <c r="A2132" s="41"/>
    </row>
    <row r="2133" spans="1:1" x14ac:dyDescent="0.6">
      <c r="A2133" s="41"/>
    </row>
    <row r="2134" spans="1:1" x14ac:dyDescent="0.6">
      <c r="A2134" s="41"/>
    </row>
    <row r="2135" spans="1:1" x14ac:dyDescent="0.6">
      <c r="A2135" s="41"/>
    </row>
    <row r="2136" spans="1:1" x14ac:dyDescent="0.6">
      <c r="A2136" s="41"/>
    </row>
    <row r="2137" spans="1:1" x14ac:dyDescent="0.6">
      <c r="A2137" s="41"/>
    </row>
    <row r="2138" spans="1:1" x14ac:dyDescent="0.6">
      <c r="A2138" s="41"/>
    </row>
    <row r="2139" spans="1:1" x14ac:dyDescent="0.6">
      <c r="A2139" s="41"/>
    </row>
    <row r="2140" spans="1:1" x14ac:dyDescent="0.6">
      <c r="A2140" s="41"/>
    </row>
    <row r="2141" spans="1:1" x14ac:dyDescent="0.6">
      <c r="A2141" s="41"/>
    </row>
    <row r="2142" spans="1:1" x14ac:dyDescent="0.6">
      <c r="A2142" s="41"/>
    </row>
    <row r="2143" spans="1:1" x14ac:dyDescent="0.6">
      <c r="A2143" s="41"/>
    </row>
    <row r="2144" spans="1:1" x14ac:dyDescent="0.6">
      <c r="A2144" s="41"/>
    </row>
    <row r="2145" spans="1:1" x14ac:dyDescent="0.6">
      <c r="A2145" s="41"/>
    </row>
    <row r="2146" spans="1:1" x14ac:dyDescent="0.6">
      <c r="A2146" s="41"/>
    </row>
    <row r="2147" spans="1:1" x14ac:dyDescent="0.6">
      <c r="A2147" s="41"/>
    </row>
    <row r="2148" spans="1:1" x14ac:dyDescent="0.6">
      <c r="A2148" s="41"/>
    </row>
    <row r="2149" spans="1:1" x14ac:dyDescent="0.6">
      <c r="A2149" s="41"/>
    </row>
    <row r="2150" spans="1:1" x14ac:dyDescent="0.6">
      <c r="A2150" s="41"/>
    </row>
    <row r="2151" spans="1:1" x14ac:dyDescent="0.6">
      <c r="A2151" s="41"/>
    </row>
    <row r="2152" spans="1:1" x14ac:dyDescent="0.6">
      <c r="A2152" s="41"/>
    </row>
    <row r="2153" spans="1:1" x14ac:dyDescent="0.6">
      <c r="A2153" s="41"/>
    </row>
    <row r="2154" spans="1:1" x14ac:dyDescent="0.6">
      <c r="A2154" s="41"/>
    </row>
    <row r="2155" spans="1:1" x14ac:dyDescent="0.6">
      <c r="A2155" s="41"/>
    </row>
    <row r="2156" spans="1:1" x14ac:dyDescent="0.6">
      <c r="A2156" s="41"/>
    </row>
    <row r="2157" spans="1:1" x14ac:dyDescent="0.6">
      <c r="A2157" s="41"/>
    </row>
    <row r="2158" spans="1:1" x14ac:dyDescent="0.6">
      <c r="A2158" s="41"/>
    </row>
    <row r="2159" spans="1:1" x14ac:dyDescent="0.6">
      <c r="A2159" s="41"/>
    </row>
    <row r="2160" spans="1:1" x14ac:dyDescent="0.6">
      <c r="A2160" s="41"/>
    </row>
    <row r="2161" spans="1:1" x14ac:dyDescent="0.6">
      <c r="A2161" s="41"/>
    </row>
    <row r="2162" spans="1:1" x14ac:dyDescent="0.6">
      <c r="A2162" s="41"/>
    </row>
    <row r="2163" spans="1:1" x14ac:dyDescent="0.6">
      <c r="A2163" s="41"/>
    </row>
    <row r="2164" spans="1:1" x14ac:dyDescent="0.6">
      <c r="A2164" s="41"/>
    </row>
    <row r="2165" spans="1:1" x14ac:dyDescent="0.6">
      <c r="A2165" s="41"/>
    </row>
    <row r="2166" spans="1:1" x14ac:dyDescent="0.6">
      <c r="A2166" s="41"/>
    </row>
    <row r="2167" spans="1:1" x14ac:dyDescent="0.6">
      <c r="A2167" s="41"/>
    </row>
    <row r="2168" spans="1:1" x14ac:dyDescent="0.6">
      <c r="A2168" s="41"/>
    </row>
    <row r="2169" spans="1:1" x14ac:dyDescent="0.6">
      <c r="A2169" s="41"/>
    </row>
    <row r="2170" spans="1:1" x14ac:dyDescent="0.6">
      <c r="A2170" s="41"/>
    </row>
    <row r="2171" spans="1:1" x14ac:dyDescent="0.6">
      <c r="A2171" s="41"/>
    </row>
    <row r="2172" spans="1:1" x14ac:dyDescent="0.6">
      <c r="A2172" s="41"/>
    </row>
    <row r="2173" spans="1:1" x14ac:dyDescent="0.6">
      <c r="A2173" s="41"/>
    </row>
    <row r="2174" spans="1:1" x14ac:dyDescent="0.6">
      <c r="A2174" s="41"/>
    </row>
    <row r="2175" spans="1:1" x14ac:dyDescent="0.6">
      <c r="A2175" s="41"/>
    </row>
    <row r="2176" spans="1:1" x14ac:dyDescent="0.6">
      <c r="A2176" s="41"/>
    </row>
    <row r="2177" spans="1:1" x14ac:dyDescent="0.6">
      <c r="A2177" s="41"/>
    </row>
    <row r="2178" spans="1:1" x14ac:dyDescent="0.6">
      <c r="A2178" s="41"/>
    </row>
    <row r="2179" spans="1:1" x14ac:dyDescent="0.6">
      <c r="A2179" s="41"/>
    </row>
    <row r="2180" spans="1:1" x14ac:dyDescent="0.6">
      <c r="A2180" s="41"/>
    </row>
    <row r="2181" spans="1:1" x14ac:dyDescent="0.6">
      <c r="A2181" s="41"/>
    </row>
    <row r="2182" spans="1:1" x14ac:dyDescent="0.6">
      <c r="A2182" s="41"/>
    </row>
    <row r="2183" spans="1:1" x14ac:dyDescent="0.6">
      <c r="A2183" s="41"/>
    </row>
    <row r="2184" spans="1:1" x14ac:dyDescent="0.6">
      <c r="A2184" s="41"/>
    </row>
    <row r="2185" spans="1:1" x14ac:dyDescent="0.6">
      <c r="A2185" s="41"/>
    </row>
    <row r="2186" spans="1:1" x14ac:dyDescent="0.6">
      <c r="A2186" s="41"/>
    </row>
    <row r="2187" spans="1:1" x14ac:dyDescent="0.6">
      <c r="A2187" s="41"/>
    </row>
    <row r="2188" spans="1:1" x14ac:dyDescent="0.6">
      <c r="A2188" s="41"/>
    </row>
    <row r="2189" spans="1:1" x14ac:dyDescent="0.6">
      <c r="A2189" s="41"/>
    </row>
    <row r="2190" spans="1:1" x14ac:dyDescent="0.6">
      <c r="A2190" s="41"/>
    </row>
    <row r="2191" spans="1:1" x14ac:dyDescent="0.6">
      <c r="A2191" s="41"/>
    </row>
    <row r="2192" spans="1:1" x14ac:dyDescent="0.6">
      <c r="A2192" s="41"/>
    </row>
    <row r="2193" spans="1:1" x14ac:dyDescent="0.6">
      <c r="A2193" s="41"/>
    </row>
    <row r="2194" spans="1:1" x14ac:dyDescent="0.6">
      <c r="A2194" s="41"/>
    </row>
    <row r="2195" spans="1:1" x14ac:dyDescent="0.6">
      <c r="A2195" s="41"/>
    </row>
    <row r="2196" spans="1:1" x14ac:dyDescent="0.6">
      <c r="A2196" s="41"/>
    </row>
    <row r="2197" spans="1:1" x14ac:dyDescent="0.6">
      <c r="A2197" s="41"/>
    </row>
    <row r="2198" spans="1:1" x14ac:dyDescent="0.6">
      <c r="A2198" s="41"/>
    </row>
    <row r="2199" spans="1:1" x14ac:dyDescent="0.6">
      <c r="A2199" s="41"/>
    </row>
    <row r="2200" spans="1:1" x14ac:dyDescent="0.6">
      <c r="A2200" s="41"/>
    </row>
    <row r="2201" spans="1:1" x14ac:dyDescent="0.6">
      <c r="A2201" s="41"/>
    </row>
    <row r="2202" spans="1:1" x14ac:dyDescent="0.6">
      <c r="A2202" s="41"/>
    </row>
    <row r="2203" spans="1:1" x14ac:dyDescent="0.6">
      <c r="A2203" s="41"/>
    </row>
    <row r="2204" spans="1:1" x14ac:dyDescent="0.6">
      <c r="A2204" s="41"/>
    </row>
    <row r="2205" spans="1:1" x14ac:dyDescent="0.6">
      <c r="A2205" s="41"/>
    </row>
    <row r="2206" spans="1:1" x14ac:dyDescent="0.6">
      <c r="A2206" s="41"/>
    </row>
    <row r="2207" spans="1:1" x14ac:dyDescent="0.6">
      <c r="A2207" s="41"/>
    </row>
    <row r="2208" spans="1:1" x14ac:dyDescent="0.6">
      <c r="A2208" s="41"/>
    </row>
    <row r="2209" spans="1:1" x14ac:dyDescent="0.6">
      <c r="A2209" s="41"/>
    </row>
    <row r="2210" spans="1:1" x14ac:dyDescent="0.6">
      <c r="A2210" s="41"/>
    </row>
    <row r="2211" spans="1:1" x14ac:dyDescent="0.6">
      <c r="A2211" s="41"/>
    </row>
    <row r="2212" spans="1:1" x14ac:dyDescent="0.6">
      <c r="A2212" s="41"/>
    </row>
    <row r="2213" spans="1:1" x14ac:dyDescent="0.6">
      <c r="A2213" s="41"/>
    </row>
    <row r="2214" spans="1:1" x14ac:dyDescent="0.6">
      <c r="A2214" s="41"/>
    </row>
    <row r="2215" spans="1:1" x14ac:dyDescent="0.6">
      <c r="A2215" s="41"/>
    </row>
    <row r="2216" spans="1:1" x14ac:dyDescent="0.6">
      <c r="A2216" s="41"/>
    </row>
    <row r="2217" spans="1:1" x14ac:dyDescent="0.6">
      <c r="A2217" s="41"/>
    </row>
    <row r="2218" spans="1:1" x14ac:dyDescent="0.6">
      <c r="A2218" s="41"/>
    </row>
    <row r="2219" spans="1:1" x14ac:dyDescent="0.6">
      <c r="A2219" s="41"/>
    </row>
    <row r="2220" spans="1:1" x14ac:dyDescent="0.6">
      <c r="A2220" s="41"/>
    </row>
    <row r="2221" spans="1:1" x14ac:dyDescent="0.6">
      <c r="A2221" s="41"/>
    </row>
    <row r="2222" spans="1:1" x14ac:dyDescent="0.6">
      <c r="A2222" s="41"/>
    </row>
    <row r="2223" spans="1:1" x14ac:dyDescent="0.6">
      <c r="A2223" s="41"/>
    </row>
    <row r="2224" spans="1:1" x14ac:dyDescent="0.6">
      <c r="A2224" s="41"/>
    </row>
    <row r="2225" spans="1:1" x14ac:dyDescent="0.6">
      <c r="A2225" s="41"/>
    </row>
    <row r="2226" spans="1:1" x14ac:dyDescent="0.6">
      <c r="A2226" s="41"/>
    </row>
    <row r="2227" spans="1:1" x14ac:dyDescent="0.6">
      <c r="A2227" s="41"/>
    </row>
    <row r="2228" spans="1:1" x14ac:dyDescent="0.6">
      <c r="A2228" s="41"/>
    </row>
    <row r="2229" spans="1:1" x14ac:dyDescent="0.6">
      <c r="A2229" s="41"/>
    </row>
    <row r="2230" spans="1:1" x14ac:dyDescent="0.6">
      <c r="A2230" s="41"/>
    </row>
    <row r="2231" spans="1:1" x14ac:dyDescent="0.6">
      <c r="A2231" s="41"/>
    </row>
    <row r="2232" spans="1:1" x14ac:dyDescent="0.6">
      <c r="A2232" s="41"/>
    </row>
    <row r="2233" spans="1:1" x14ac:dyDescent="0.6">
      <c r="A2233" s="41"/>
    </row>
    <row r="2234" spans="1:1" x14ac:dyDescent="0.6">
      <c r="A2234" s="41"/>
    </row>
    <row r="2235" spans="1:1" x14ac:dyDescent="0.6">
      <c r="A2235" s="41"/>
    </row>
    <row r="2236" spans="1:1" x14ac:dyDescent="0.6">
      <c r="A2236" s="41"/>
    </row>
    <row r="2237" spans="1:1" x14ac:dyDescent="0.6">
      <c r="A2237" s="41"/>
    </row>
    <row r="2238" spans="1:1" x14ac:dyDescent="0.6">
      <c r="A2238" s="41"/>
    </row>
    <row r="2239" spans="1:1" x14ac:dyDescent="0.6">
      <c r="A2239" s="41"/>
    </row>
    <row r="2240" spans="1:1" x14ac:dyDescent="0.6">
      <c r="A2240" s="41"/>
    </row>
    <row r="2241" spans="1:1" x14ac:dyDescent="0.6">
      <c r="A2241" s="41"/>
    </row>
    <row r="2242" spans="1:1" x14ac:dyDescent="0.6">
      <c r="A2242" s="41"/>
    </row>
    <row r="2243" spans="1:1" x14ac:dyDescent="0.6">
      <c r="A2243" s="41"/>
    </row>
    <row r="2244" spans="1:1" x14ac:dyDescent="0.6">
      <c r="A2244" s="41"/>
    </row>
    <row r="2245" spans="1:1" x14ac:dyDescent="0.6">
      <c r="A2245" s="41"/>
    </row>
    <row r="2246" spans="1:1" x14ac:dyDescent="0.6">
      <c r="A2246" s="41"/>
    </row>
    <row r="2247" spans="1:1" x14ac:dyDescent="0.6">
      <c r="A2247" s="41"/>
    </row>
    <row r="2248" spans="1:1" x14ac:dyDescent="0.6">
      <c r="A2248" s="41"/>
    </row>
    <row r="2249" spans="1:1" x14ac:dyDescent="0.6">
      <c r="A2249" s="41"/>
    </row>
    <row r="2250" spans="1:1" x14ac:dyDescent="0.6">
      <c r="A2250" s="41"/>
    </row>
    <row r="2251" spans="1:1" x14ac:dyDescent="0.6">
      <c r="A2251" s="41"/>
    </row>
    <row r="2252" spans="1:1" x14ac:dyDescent="0.6">
      <c r="A2252" s="41"/>
    </row>
    <row r="2253" spans="1:1" x14ac:dyDescent="0.6">
      <c r="A2253" s="41"/>
    </row>
    <row r="2254" spans="1:1" x14ac:dyDescent="0.6">
      <c r="A2254" s="41"/>
    </row>
    <row r="2255" spans="1:1" x14ac:dyDescent="0.6">
      <c r="A2255" s="41"/>
    </row>
    <row r="2256" spans="1:1" x14ac:dyDescent="0.6">
      <c r="A2256" s="41"/>
    </row>
    <row r="2257" spans="1:1" x14ac:dyDescent="0.6">
      <c r="A2257" s="41"/>
    </row>
    <row r="2258" spans="1:1" x14ac:dyDescent="0.6">
      <c r="A2258" s="41"/>
    </row>
    <row r="2259" spans="1:1" x14ac:dyDescent="0.6">
      <c r="A2259" s="41"/>
    </row>
    <row r="2260" spans="1:1" x14ac:dyDescent="0.6">
      <c r="A2260" s="41"/>
    </row>
    <row r="2261" spans="1:1" x14ac:dyDescent="0.6">
      <c r="A2261" s="41"/>
    </row>
    <row r="2262" spans="1:1" x14ac:dyDescent="0.6">
      <c r="A2262" s="41"/>
    </row>
    <row r="2263" spans="1:1" x14ac:dyDescent="0.6">
      <c r="A2263" s="41"/>
    </row>
    <row r="2264" spans="1:1" x14ac:dyDescent="0.6">
      <c r="A2264" s="41"/>
    </row>
    <row r="2265" spans="1:1" x14ac:dyDescent="0.6">
      <c r="A2265" s="41"/>
    </row>
    <row r="2266" spans="1:1" x14ac:dyDescent="0.6">
      <c r="A2266" s="41"/>
    </row>
    <row r="2267" spans="1:1" x14ac:dyDescent="0.6">
      <c r="A2267" s="41"/>
    </row>
    <row r="2268" spans="1:1" x14ac:dyDescent="0.6">
      <c r="A2268" s="41"/>
    </row>
    <row r="2269" spans="1:1" x14ac:dyDescent="0.6">
      <c r="A2269" s="41"/>
    </row>
    <row r="2270" spans="1:1" x14ac:dyDescent="0.6">
      <c r="A2270" s="41"/>
    </row>
    <row r="2271" spans="1:1" x14ac:dyDescent="0.6">
      <c r="A2271" s="41"/>
    </row>
    <row r="2272" spans="1:1" x14ac:dyDescent="0.6">
      <c r="A2272" s="41"/>
    </row>
    <row r="2273" spans="1:1" x14ac:dyDescent="0.6">
      <c r="A2273" s="41"/>
    </row>
    <row r="2274" spans="1:1" x14ac:dyDescent="0.6">
      <c r="A2274" s="41"/>
    </row>
    <row r="2275" spans="1:1" x14ac:dyDescent="0.6">
      <c r="A2275" s="41"/>
    </row>
    <row r="2276" spans="1:1" x14ac:dyDescent="0.6">
      <c r="A2276" s="41"/>
    </row>
    <row r="2277" spans="1:1" x14ac:dyDescent="0.6">
      <c r="A2277" s="41"/>
    </row>
    <row r="2278" spans="1:1" x14ac:dyDescent="0.6">
      <c r="A2278" s="41"/>
    </row>
    <row r="2279" spans="1:1" x14ac:dyDescent="0.6">
      <c r="A2279" s="41"/>
    </row>
    <row r="2280" spans="1:1" x14ac:dyDescent="0.6">
      <c r="A2280" s="41"/>
    </row>
    <row r="2281" spans="1:1" x14ac:dyDescent="0.6">
      <c r="A2281" s="41"/>
    </row>
    <row r="2282" spans="1:1" x14ac:dyDescent="0.6">
      <c r="A2282" s="41"/>
    </row>
    <row r="2283" spans="1:1" x14ac:dyDescent="0.6">
      <c r="A2283" s="41"/>
    </row>
    <row r="2284" spans="1:1" x14ac:dyDescent="0.6">
      <c r="A2284" s="41"/>
    </row>
    <row r="2285" spans="1:1" x14ac:dyDescent="0.6">
      <c r="A2285" s="41"/>
    </row>
    <row r="2286" spans="1:1" x14ac:dyDescent="0.6">
      <c r="A2286" s="41"/>
    </row>
    <row r="2287" spans="1:1" x14ac:dyDescent="0.6">
      <c r="A2287" s="41"/>
    </row>
    <row r="2288" spans="1:1" x14ac:dyDescent="0.6">
      <c r="A2288" s="41"/>
    </row>
    <row r="2289" spans="1:1" x14ac:dyDescent="0.6">
      <c r="A2289" s="41"/>
    </row>
    <row r="2290" spans="1:1" x14ac:dyDescent="0.6">
      <c r="A2290" s="41"/>
    </row>
    <row r="2291" spans="1:1" x14ac:dyDescent="0.6">
      <c r="A2291" s="41"/>
    </row>
    <row r="2292" spans="1:1" x14ac:dyDescent="0.6">
      <c r="A2292" s="41"/>
    </row>
    <row r="2293" spans="1:1" x14ac:dyDescent="0.6">
      <c r="A2293" s="41"/>
    </row>
    <row r="2294" spans="1:1" x14ac:dyDescent="0.6">
      <c r="A2294" s="41"/>
    </row>
    <row r="2295" spans="1:1" x14ac:dyDescent="0.6">
      <c r="A2295" s="41"/>
    </row>
    <row r="2296" spans="1:1" x14ac:dyDescent="0.6">
      <c r="A2296" s="41"/>
    </row>
    <row r="2297" spans="1:1" x14ac:dyDescent="0.6">
      <c r="A2297" s="41"/>
    </row>
    <row r="2298" spans="1:1" x14ac:dyDescent="0.6">
      <c r="A2298" s="41"/>
    </row>
    <row r="2299" spans="1:1" x14ac:dyDescent="0.6">
      <c r="A2299" s="41"/>
    </row>
    <row r="2300" spans="1:1" x14ac:dyDescent="0.6">
      <c r="A2300" s="41"/>
    </row>
    <row r="2301" spans="1:1" x14ac:dyDescent="0.6">
      <c r="A2301" s="41"/>
    </row>
    <row r="2302" spans="1:1" x14ac:dyDescent="0.6">
      <c r="A2302" s="41"/>
    </row>
    <row r="2303" spans="1:1" x14ac:dyDescent="0.6">
      <c r="A2303" s="41"/>
    </row>
    <row r="2304" spans="1:1" x14ac:dyDescent="0.6">
      <c r="A2304" s="41"/>
    </row>
    <row r="2305" spans="1:1" x14ac:dyDescent="0.6">
      <c r="A2305" s="41"/>
    </row>
    <row r="2306" spans="1:1" x14ac:dyDescent="0.6">
      <c r="A2306" s="41"/>
    </row>
    <row r="2307" spans="1:1" x14ac:dyDescent="0.6">
      <c r="A2307" s="41"/>
    </row>
    <row r="2308" spans="1:1" x14ac:dyDescent="0.6">
      <c r="A2308" s="41"/>
    </row>
    <row r="2309" spans="1:1" x14ac:dyDescent="0.6">
      <c r="A2309" s="41"/>
    </row>
    <row r="2310" spans="1:1" x14ac:dyDescent="0.6">
      <c r="A2310" s="41"/>
    </row>
    <row r="2311" spans="1:1" x14ac:dyDescent="0.6">
      <c r="A2311" s="41"/>
    </row>
    <row r="2312" spans="1:1" x14ac:dyDescent="0.6">
      <c r="A2312" s="41"/>
    </row>
    <row r="2313" spans="1:1" x14ac:dyDescent="0.6">
      <c r="A2313" s="41"/>
    </row>
    <row r="2314" spans="1:1" x14ac:dyDescent="0.6">
      <c r="A2314" s="41"/>
    </row>
    <row r="2315" spans="1:1" x14ac:dyDescent="0.6">
      <c r="A2315" s="41"/>
    </row>
    <row r="2316" spans="1:1" x14ac:dyDescent="0.6">
      <c r="A2316" s="41"/>
    </row>
    <row r="2317" spans="1:1" x14ac:dyDescent="0.6">
      <c r="A2317" s="41"/>
    </row>
    <row r="2318" spans="1:1" x14ac:dyDescent="0.6">
      <c r="A2318" s="41"/>
    </row>
    <row r="2319" spans="1:1" x14ac:dyDescent="0.6">
      <c r="A2319" s="41"/>
    </row>
    <row r="2320" spans="1:1" x14ac:dyDescent="0.6">
      <c r="A2320" s="41"/>
    </row>
    <row r="2321" spans="1:1" x14ac:dyDescent="0.6">
      <c r="A2321" s="41"/>
    </row>
    <row r="2322" spans="1:1" x14ac:dyDescent="0.6">
      <c r="A2322" s="41"/>
    </row>
    <row r="2323" spans="1:1" x14ac:dyDescent="0.6">
      <c r="A2323" s="41"/>
    </row>
    <row r="2324" spans="1:1" x14ac:dyDescent="0.6">
      <c r="A2324" s="41"/>
    </row>
    <row r="2325" spans="1:1" x14ac:dyDescent="0.6">
      <c r="A2325" s="41"/>
    </row>
    <row r="2326" spans="1:1" x14ac:dyDescent="0.6">
      <c r="A2326" s="41"/>
    </row>
    <row r="2327" spans="1:1" x14ac:dyDescent="0.6">
      <c r="A2327" s="41"/>
    </row>
    <row r="2328" spans="1:1" x14ac:dyDescent="0.6">
      <c r="A2328" s="41"/>
    </row>
    <row r="2329" spans="1:1" x14ac:dyDescent="0.6">
      <c r="A2329" s="41"/>
    </row>
    <row r="2330" spans="1:1" x14ac:dyDescent="0.6">
      <c r="A2330" s="41"/>
    </row>
    <row r="2331" spans="1:1" x14ac:dyDescent="0.6">
      <c r="A2331" s="41"/>
    </row>
    <row r="2332" spans="1:1" x14ac:dyDescent="0.6">
      <c r="A2332" s="41"/>
    </row>
    <row r="2333" spans="1:1" x14ac:dyDescent="0.6">
      <c r="A2333" s="41"/>
    </row>
    <row r="2334" spans="1:1" x14ac:dyDescent="0.6">
      <c r="A2334" s="41"/>
    </row>
    <row r="2335" spans="1:1" x14ac:dyDescent="0.6">
      <c r="A2335" s="41"/>
    </row>
    <row r="2336" spans="1:1" x14ac:dyDescent="0.6">
      <c r="A2336" s="41"/>
    </row>
    <row r="2337" spans="1:1" x14ac:dyDescent="0.6">
      <c r="A2337" s="41"/>
    </row>
    <row r="2338" spans="1:1" x14ac:dyDescent="0.6">
      <c r="A2338" s="41"/>
    </row>
    <row r="2339" spans="1:1" x14ac:dyDescent="0.6">
      <c r="A2339" s="41"/>
    </row>
    <row r="2340" spans="1:1" x14ac:dyDescent="0.6">
      <c r="A2340" s="41"/>
    </row>
    <row r="2341" spans="1:1" x14ac:dyDescent="0.6">
      <c r="A2341" s="41"/>
    </row>
    <row r="2342" spans="1:1" x14ac:dyDescent="0.6">
      <c r="A2342" s="41"/>
    </row>
    <row r="2343" spans="1:1" x14ac:dyDescent="0.6">
      <c r="A2343" s="41"/>
    </row>
    <row r="2344" spans="1:1" x14ac:dyDescent="0.6">
      <c r="A2344" s="41"/>
    </row>
    <row r="2345" spans="1:1" x14ac:dyDescent="0.6">
      <c r="A2345" s="41"/>
    </row>
    <row r="2346" spans="1:1" x14ac:dyDescent="0.6">
      <c r="A2346" s="41"/>
    </row>
    <row r="2347" spans="1:1" x14ac:dyDescent="0.6">
      <c r="A2347" s="41"/>
    </row>
    <row r="2348" spans="1:1" x14ac:dyDescent="0.6">
      <c r="A2348" s="41"/>
    </row>
    <row r="2349" spans="1:1" x14ac:dyDescent="0.6">
      <c r="A2349" s="41"/>
    </row>
    <row r="2350" spans="1:1" x14ac:dyDescent="0.6">
      <c r="A2350" s="41"/>
    </row>
    <row r="2351" spans="1:1" x14ac:dyDescent="0.6">
      <c r="A2351" s="41"/>
    </row>
    <row r="2352" spans="1:1" x14ac:dyDescent="0.6">
      <c r="A2352" s="41"/>
    </row>
    <row r="2353" spans="1:1" x14ac:dyDescent="0.6">
      <c r="A2353" s="41"/>
    </row>
    <row r="2354" spans="1:1" x14ac:dyDescent="0.6">
      <c r="A2354" s="41"/>
    </row>
    <row r="2355" spans="1:1" x14ac:dyDescent="0.6">
      <c r="A2355" s="41"/>
    </row>
    <row r="2356" spans="1:1" x14ac:dyDescent="0.6">
      <c r="A2356" s="41"/>
    </row>
    <row r="2357" spans="1:1" x14ac:dyDescent="0.6">
      <c r="A2357" s="41"/>
    </row>
    <row r="2358" spans="1:1" x14ac:dyDescent="0.6">
      <c r="A2358" s="41"/>
    </row>
    <row r="2359" spans="1:1" x14ac:dyDescent="0.6">
      <c r="A2359" s="41"/>
    </row>
    <row r="2360" spans="1:1" x14ac:dyDescent="0.6">
      <c r="A2360" s="41"/>
    </row>
    <row r="2361" spans="1:1" x14ac:dyDescent="0.6">
      <c r="A2361" s="41"/>
    </row>
    <row r="2362" spans="1:1" x14ac:dyDescent="0.6">
      <c r="A2362" s="41"/>
    </row>
    <row r="2363" spans="1:1" x14ac:dyDescent="0.6">
      <c r="A2363" s="41"/>
    </row>
    <row r="2364" spans="1:1" x14ac:dyDescent="0.6">
      <c r="A2364" s="41"/>
    </row>
    <row r="2365" spans="1:1" x14ac:dyDescent="0.6">
      <c r="A2365" s="41"/>
    </row>
    <row r="2366" spans="1:1" x14ac:dyDescent="0.6">
      <c r="A2366" s="41"/>
    </row>
    <row r="2367" spans="1:1" x14ac:dyDescent="0.6">
      <c r="A2367" s="41"/>
    </row>
    <row r="2368" spans="1:1" x14ac:dyDescent="0.6">
      <c r="A2368" s="41"/>
    </row>
    <row r="2369" spans="1:1" x14ac:dyDescent="0.6">
      <c r="A2369" s="41"/>
    </row>
    <row r="2370" spans="1:1" x14ac:dyDescent="0.6">
      <c r="A2370" s="41"/>
    </row>
    <row r="2371" spans="1:1" x14ac:dyDescent="0.6">
      <c r="A2371" s="41"/>
    </row>
    <row r="2372" spans="1:1" x14ac:dyDescent="0.6">
      <c r="A2372" s="41"/>
    </row>
    <row r="2373" spans="1:1" x14ac:dyDescent="0.6">
      <c r="A2373" s="41"/>
    </row>
    <row r="2374" spans="1:1" x14ac:dyDescent="0.6">
      <c r="A2374" s="41"/>
    </row>
    <row r="2375" spans="1:1" x14ac:dyDescent="0.6">
      <c r="A2375" s="41"/>
    </row>
    <row r="2376" spans="1:1" x14ac:dyDescent="0.6">
      <c r="A2376" s="41"/>
    </row>
    <row r="2377" spans="1:1" x14ac:dyDescent="0.6">
      <c r="A2377" s="41"/>
    </row>
    <row r="2378" spans="1:1" x14ac:dyDescent="0.6">
      <c r="A2378" s="41"/>
    </row>
    <row r="2379" spans="1:1" x14ac:dyDescent="0.6">
      <c r="A2379" s="41"/>
    </row>
    <row r="2380" spans="1:1" x14ac:dyDescent="0.6">
      <c r="A2380" s="41"/>
    </row>
    <row r="2381" spans="1:1" x14ac:dyDescent="0.6">
      <c r="A2381" s="41"/>
    </row>
    <row r="2382" spans="1:1" x14ac:dyDescent="0.6">
      <c r="A2382" s="41"/>
    </row>
    <row r="2383" spans="1:1" x14ac:dyDescent="0.6">
      <c r="A2383" s="41"/>
    </row>
    <row r="2384" spans="1:1" x14ac:dyDescent="0.6">
      <c r="A2384" s="41"/>
    </row>
    <row r="2385" spans="1:1" x14ac:dyDescent="0.6">
      <c r="A2385" s="41"/>
    </row>
    <row r="2386" spans="1:1" x14ac:dyDescent="0.6">
      <c r="A2386" s="41"/>
    </row>
    <row r="2387" spans="1:1" x14ac:dyDescent="0.6">
      <c r="A2387" s="41"/>
    </row>
    <row r="2388" spans="1:1" x14ac:dyDescent="0.6">
      <c r="A2388" s="41"/>
    </row>
    <row r="2389" spans="1:1" x14ac:dyDescent="0.6">
      <c r="A2389" s="41"/>
    </row>
    <row r="2390" spans="1:1" x14ac:dyDescent="0.6">
      <c r="A2390" s="41"/>
    </row>
    <row r="2391" spans="1:1" x14ac:dyDescent="0.6">
      <c r="A2391" s="41"/>
    </row>
    <row r="2392" spans="1:1" x14ac:dyDescent="0.6">
      <c r="A2392" s="41"/>
    </row>
    <row r="2393" spans="1:1" x14ac:dyDescent="0.6">
      <c r="A2393" s="41"/>
    </row>
    <row r="2394" spans="1:1" x14ac:dyDescent="0.6">
      <c r="A2394" s="41"/>
    </row>
    <row r="2395" spans="1:1" x14ac:dyDescent="0.6">
      <c r="A2395" s="41"/>
    </row>
    <row r="2396" spans="1:1" x14ac:dyDescent="0.6">
      <c r="A2396" s="41"/>
    </row>
    <row r="2397" spans="1:1" x14ac:dyDescent="0.6">
      <c r="A2397" s="41"/>
    </row>
    <row r="2398" spans="1:1" x14ac:dyDescent="0.6">
      <c r="A2398" s="41"/>
    </row>
    <row r="2399" spans="1:1" x14ac:dyDescent="0.6">
      <c r="A2399" s="41"/>
    </row>
    <row r="2400" spans="1:1" x14ac:dyDescent="0.6">
      <c r="A2400" s="41"/>
    </row>
    <row r="2401" spans="1:1" x14ac:dyDescent="0.6">
      <c r="A2401" s="41"/>
    </row>
    <row r="2402" spans="1:1" x14ac:dyDescent="0.6">
      <c r="A2402" s="41"/>
    </row>
    <row r="2403" spans="1:1" x14ac:dyDescent="0.6">
      <c r="A2403" s="41"/>
    </row>
    <row r="2404" spans="1:1" x14ac:dyDescent="0.6">
      <c r="A2404" s="41"/>
    </row>
    <row r="2405" spans="1:1" x14ac:dyDescent="0.6">
      <c r="A2405" s="41"/>
    </row>
    <row r="2406" spans="1:1" x14ac:dyDescent="0.6">
      <c r="A2406" s="41"/>
    </row>
    <row r="2407" spans="1:1" x14ac:dyDescent="0.6">
      <c r="A2407" s="41"/>
    </row>
    <row r="2408" spans="1:1" x14ac:dyDescent="0.6">
      <c r="A2408" s="41"/>
    </row>
    <row r="2409" spans="1:1" x14ac:dyDescent="0.6">
      <c r="A2409" s="41"/>
    </row>
    <row r="2410" spans="1:1" x14ac:dyDescent="0.6">
      <c r="A2410" s="41"/>
    </row>
    <row r="2411" spans="1:1" x14ac:dyDescent="0.6">
      <c r="A2411" s="41"/>
    </row>
    <row r="2412" spans="1:1" x14ac:dyDescent="0.6">
      <c r="A2412" s="41"/>
    </row>
    <row r="2413" spans="1:1" x14ac:dyDescent="0.6">
      <c r="A2413" s="41"/>
    </row>
    <row r="2414" spans="1:1" x14ac:dyDescent="0.6">
      <c r="A2414" s="41"/>
    </row>
    <row r="2415" spans="1:1" x14ac:dyDescent="0.6">
      <c r="A2415" s="41"/>
    </row>
    <row r="2416" spans="1:1" x14ac:dyDescent="0.6">
      <c r="A2416" s="41"/>
    </row>
    <row r="2417" spans="1:1" x14ac:dyDescent="0.6">
      <c r="A2417" s="41"/>
    </row>
    <row r="2418" spans="1:1" x14ac:dyDescent="0.6">
      <c r="A2418" s="41"/>
    </row>
    <row r="2419" spans="1:1" x14ac:dyDescent="0.6">
      <c r="A2419" s="41"/>
    </row>
    <row r="2420" spans="1:1" x14ac:dyDescent="0.6">
      <c r="A2420" s="41"/>
    </row>
    <row r="2421" spans="1:1" x14ac:dyDescent="0.6">
      <c r="A2421" s="41"/>
    </row>
    <row r="2422" spans="1:1" x14ac:dyDescent="0.6">
      <c r="A2422" s="41"/>
    </row>
    <row r="2423" spans="1:1" x14ac:dyDescent="0.6">
      <c r="A2423" s="41"/>
    </row>
    <row r="2424" spans="1:1" x14ac:dyDescent="0.6">
      <c r="A2424" s="41"/>
    </row>
    <row r="2425" spans="1:1" x14ac:dyDescent="0.6">
      <c r="A2425" s="41"/>
    </row>
    <row r="2426" spans="1:1" x14ac:dyDescent="0.6">
      <c r="A2426" s="41"/>
    </row>
    <row r="2427" spans="1:1" x14ac:dyDescent="0.6">
      <c r="A2427" s="41"/>
    </row>
    <row r="2428" spans="1:1" x14ac:dyDescent="0.6">
      <c r="A2428" s="41"/>
    </row>
    <row r="2429" spans="1:1" x14ac:dyDescent="0.6">
      <c r="A2429" s="41"/>
    </row>
    <row r="2430" spans="1:1" x14ac:dyDescent="0.6">
      <c r="A2430" s="41"/>
    </row>
    <row r="2431" spans="1:1" x14ac:dyDescent="0.6">
      <c r="A2431" s="41"/>
    </row>
    <row r="2432" spans="1:1" x14ac:dyDescent="0.6">
      <c r="A2432" s="41"/>
    </row>
    <row r="2433" spans="1:1" x14ac:dyDescent="0.6">
      <c r="A2433" s="41"/>
    </row>
    <row r="2434" spans="1:1" x14ac:dyDescent="0.6">
      <c r="A2434" s="41"/>
    </row>
    <row r="2435" spans="1:1" x14ac:dyDescent="0.6">
      <c r="A2435" s="41"/>
    </row>
    <row r="2436" spans="1:1" x14ac:dyDescent="0.6">
      <c r="A2436" s="41"/>
    </row>
    <row r="2437" spans="1:1" x14ac:dyDescent="0.6">
      <c r="A2437" s="41"/>
    </row>
    <row r="2438" spans="1:1" x14ac:dyDescent="0.6">
      <c r="A2438" s="41"/>
    </row>
    <row r="2439" spans="1:1" x14ac:dyDescent="0.6">
      <c r="A2439" s="41"/>
    </row>
    <row r="2440" spans="1:1" x14ac:dyDescent="0.6">
      <c r="A2440" s="41"/>
    </row>
    <row r="2441" spans="1:1" x14ac:dyDescent="0.6">
      <c r="A2441" s="41"/>
    </row>
    <row r="2442" spans="1:1" x14ac:dyDescent="0.6">
      <c r="A2442" s="41"/>
    </row>
    <row r="2443" spans="1:1" x14ac:dyDescent="0.6">
      <c r="A2443" s="41"/>
    </row>
    <row r="2444" spans="1:1" x14ac:dyDescent="0.6">
      <c r="A2444" s="41"/>
    </row>
    <row r="2445" spans="1:1" x14ac:dyDescent="0.6">
      <c r="A2445" s="41"/>
    </row>
    <row r="2446" spans="1:1" x14ac:dyDescent="0.6">
      <c r="A2446" s="41"/>
    </row>
    <row r="2447" spans="1:1" x14ac:dyDescent="0.6">
      <c r="A2447" s="41"/>
    </row>
    <row r="2448" spans="1:1" x14ac:dyDescent="0.6">
      <c r="A2448" s="41"/>
    </row>
    <row r="2449" spans="1:1" x14ac:dyDescent="0.6">
      <c r="A2449" s="41"/>
    </row>
    <row r="2450" spans="1:1" x14ac:dyDescent="0.6">
      <c r="A2450" s="41"/>
    </row>
    <row r="2451" spans="1:1" x14ac:dyDescent="0.6">
      <c r="A2451" s="41"/>
    </row>
    <row r="2452" spans="1:1" x14ac:dyDescent="0.6">
      <c r="A2452" s="41"/>
    </row>
    <row r="2453" spans="1:1" x14ac:dyDescent="0.6">
      <c r="A2453" s="41"/>
    </row>
    <row r="2454" spans="1:1" x14ac:dyDescent="0.6">
      <c r="A2454" s="41"/>
    </row>
    <row r="2455" spans="1:1" x14ac:dyDescent="0.6">
      <c r="A2455" s="41"/>
    </row>
    <row r="2456" spans="1:1" x14ac:dyDescent="0.6">
      <c r="A2456" s="41"/>
    </row>
    <row r="2457" spans="1:1" x14ac:dyDescent="0.6">
      <c r="A2457" s="41"/>
    </row>
    <row r="2458" spans="1:1" x14ac:dyDescent="0.6">
      <c r="A2458" s="41"/>
    </row>
    <row r="2459" spans="1:1" x14ac:dyDescent="0.6">
      <c r="A2459" s="41"/>
    </row>
    <row r="2460" spans="1:1" x14ac:dyDescent="0.6">
      <c r="A2460" s="41"/>
    </row>
    <row r="2461" spans="1:1" x14ac:dyDescent="0.6">
      <c r="A2461" s="41"/>
    </row>
    <row r="2462" spans="1:1" x14ac:dyDescent="0.6">
      <c r="A2462" s="41"/>
    </row>
    <row r="2463" spans="1:1" x14ac:dyDescent="0.6">
      <c r="A2463" s="41"/>
    </row>
    <row r="2464" spans="1:1" x14ac:dyDescent="0.6">
      <c r="A2464" s="41"/>
    </row>
    <row r="2465" spans="1:1" x14ac:dyDescent="0.6">
      <c r="A2465" s="41"/>
    </row>
    <row r="2466" spans="1:1" x14ac:dyDescent="0.6">
      <c r="A2466" s="41"/>
    </row>
    <row r="2467" spans="1:1" x14ac:dyDescent="0.6">
      <c r="A2467" s="41"/>
    </row>
    <row r="2468" spans="1:1" x14ac:dyDescent="0.6">
      <c r="A2468" s="41"/>
    </row>
    <row r="2469" spans="1:1" x14ac:dyDescent="0.6">
      <c r="A2469" s="41"/>
    </row>
    <row r="2470" spans="1:1" x14ac:dyDescent="0.6">
      <c r="A2470" s="41"/>
    </row>
    <row r="2471" spans="1:1" x14ac:dyDescent="0.6">
      <c r="A2471" s="41"/>
    </row>
    <row r="2472" spans="1:1" x14ac:dyDescent="0.6">
      <c r="A2472" s="41"/>
    </row>
    <row r="2473" spans="1:1" x14ac:dyDescent="0.6">
      <c r="A2473" s="41"/>
    </row>
    <row r="2474" spans="1:1" x14ac:dyDescent="0.6">
      <c r="A2474" s="41"/>
    </row>
    <row r="2475" spans="1:1" x14ac:dyDescent="0.6">
      <c r="A2475" s="41"/>
    </row>
    <row r="2476" spans="1:1" x14ac:dyDescent="0.6">
      <c r="A2476" s="41"/>
    </row>
    <row r="2477" spans="1:1" x14ac:dyDescent="0.6">
      <c r="A2477" s="41"/>
    </row>
    <row r="2478" spans="1:1" x14ac:dyDescent="0.6">
      <c r="A2478" s="41"/>
    </row>
    <row r="2479" spans="1:1" x14ac:dyDescent="0.6">
      <c r="A2479" s="41"/>
    </row>
    <row r="2480" spans="1:1" x14ac:dyDescent="0.6">
      <c r="A2480" s="41"/>
    </row>
    <row r="2481" spans="1:1" x14ac:dyDescent="0.6">
      <c r="A2481" s="41"/>
    </row>
    <row r="2482" spans="1:1" x14ac:dyDescent="0.6">
      <c r="A2482" s="41"/>
    </row>
    <row r="2483" spans="1:1" x14ac:dyDescent="0.6">
      <c r="A2483" s="41"/>
    </row>
    <row r="2484" spans="1:1" x14ac:dyDescent="0.6">
      <c r="A2484" s="41"/>
    </row>
    <row r="2485" spans="1:1" x14ac:dyDescent="0.6">
      <c r="A2485" s="41"/>
    </row>
    <row r="2486" spans="1:1" x14ac:dyDescent="0.6">
      <c r="A2486" s="41"/>
    </row>
    <row r="2487" spans="1:1" x14ac:dyDescent="0.6">
      <c r="A2487" s="41"/>
    </row>
    <row r="2488" spans="1:1" x14ac:dyDescent="0.6">
      <c r="A2488" s="41"/>
    </row>
    <row r="2489" spans="1:1" x14ac:dyDescent="0.6">
      <c r="A2489" s="41"/>
    </row>
    <row r="2490" spans="1:1" x14ac:dyDescent="0.6">
      <c r="A2490" s="41"/>
    </row>
    <row r="2491" spans="1:1" x14ac:dyDescent="0.6">
      <c r="A2491" s="41"/>
    </row>
    <row r="2492" spans="1:1" x14ac:dyDescent="0.6">
      <c r="A2492" s="41"/>
    </row>
    <row r="2493" spans="1:1" x14ac:dyDescent="0.6">
      <c r="A2493" s="41"/>
    </row>
    <row r="2494" spans="1:1" x14ac:dyDescent="0.6">
      <c r="A2494" s="41"/>
    </row>
    <row r="2495" spans="1:1" x14ac:dyDescent="0.6">
      <c r="A2495" s="41"/>
    </row>
    <row r="2496" spans="1:1" x14ac:dyDescent="0.6">
      <c r="A2496" s="41"/>
    </row>
    <row r="2497" spans="1:1" x14ac:dyDescent="0.6">
      <c r="A2497" s="41"/>
    </row>
    <row r="2498" spans="1:1" x14ac:dyDescent="0.6">
      <c r="A2498" s="41"/>
    </row>
    <row r="2499" spans="1:1" x14ac:dyDescent="0.6">
      <c r="A2499" s="41"/>
    </row>
    <row r="2500" spans="1:1" x14ac:dyDescent="0.6">
      <c r="A2500" s="41"/>
    </row>
    <row r="2501" spans="1:1" x14ac:dyDescent="0.6">
      <c r="A2501" s="41"/>
    </row>
    <row r="2502" spans="1:1" x14ac:dyDescent="0.6">
      <c r="A2502" s="41"/>
    </row>
    <row r="2503" spans="1:1" x14ac:dyDescent="0.6">
      <c r="A2503" s="41"/>
    </row>
    <row r="2504" spans="1:1" x14ac:dyDescent="0.6">
      <c r="A2504" s="41"/>
    </row>
    <row r="2505" spans="1:1" x14ac:dyDescent="0.6">
      <c r="A2505" s="41"/>
    </row>
    <row r="2506" spans="1:1" x14ac:dyDescent="0.6">
      <c r="A2506" s="41"/>
    </row>
    <row r="2507" spans="1:1" x14ac:dyDescent="0.6">
      <c r="A2507" s="41"/>
    </row>
    <row r="2508" spans="1:1" x14ac:dyDescent="0.6">
      <c r="A2508" s="41"/>
    </row>
    <row r="2509" spans="1:1" x14ac:dyDescent="0.6">
      <c r="A2509" s="41"/>
    </row>
    <row r="2510" spans="1:1" x14ac:dyDescent="0.6">
      <c r="A2510" s="41"/>
    </row>
    <row r="2511" spans="1:1" x14ac:dyDescent="0.6">
      <c r="A2511" s="41"/>
    </row>
    <row r="2512" spans="1:1" x14ac:dyDescent="0.6">
      <c r="A2512" s="41"/>
    </row>
    <row r="2513" spans="1:1" x14ac:dyDescent="0.6">
      <c r="A2513" s="41"/>
    </row>
    <row r="2514" spans="1:1" x14ac:dyDescent="0.6">
      <c r="A2514" s="41"/>
    </row>
    <row r="2515" spans="1:1" x14ac:dyDescent="0.6">
      <c r="A2515" s="41"/>
    </row>
    <row r="2516" spans="1:1" x14ac:dyDescent="0.6">
      <c r="A2516" s="41"/>
    </row>
    <row r="2517" spans="1:1" x14ac:dyDescent="0.6">
      <c r="A2517" s="41"/>
    </row>
    <row r="2518" spans="1:1" x14ac:dyDescent="0.6">
      <c r="A2518" s="41"/>
    </row>
    <row r="2519" spans="1:1" x14ac:dyDescent="0.6">
      <c r="A2519" s="41"/>
    </row>
    <row r="2520" spans="1:1" x14ac:dyDescent="0.6">
      <c r="A2520" s="41"/>
    </row>
    <row r="2521" spans="1:1" x14ac:dyDescent="0.6">
      <c r="A2521" s="41"/>
    </row>
    <row r="2522" spans="1:1" x14ac:dyDescent="0.6">
      <c r="A2522" s="41"/>
    </row>
    <row r="2523" spans="1:1" x14ac:dyDescent="0.6">
      <c r="A2523" s="41"/>
    </row>
    <row r="2524" spans="1:1" x14ac:dyDescent="0.6">
      <c r="A2524" s="41"/>
    </row>
    <row r="2525" spans="1:1" x14ac:dyDescent="0.6">
      <c r="A2525" s="41"/>
    </row>
    <row r="2526" spans="1:1" x14ac:dyDescent="0.6">
      <c r="A2526" s="41"/>
    </row>
    <row r="2527" spans="1:1" x14ac:dyDescent="0.6">
      <c r="A2527" s="41"/>
    </row>
    <row r="2528" spans="1:1" x14ac:dyDescent="0.6">
      <c r="A2528" s="41"/>
    </row>
    <row r="2529" spans="1:1" x14ac:dyDescent="0.6">
      <c r="A2529" s="41"/>
    </row>
    <row r="2530" spans="1:1" x14ac:dyDescent="0.6">
      <c r="A2530" s="41"/>
    </row>
    <row r="2531" spans="1:1" x14ac:dyDescent="0.6">
      <c r="A2531" s="41"/>
    </row>
    <row r="2532" spans="1:1" x14ac:dyDescent="0.6">
      <c r="A2532" s="41"/>
    </row>
    <row r="2533" spans="1:1" x14ac:dyDescent="0.6">
      <c r="A2533" s="41"/>
    </row>
    <row r="2534" spans="1:1" x14ac:dyDescent="0.6">
      <c r="A2534" s="41"/>
    </row>
    <row r="2535" spans="1:1" x14ac:dyDescent="0.6">
      <c r="A2535" s="41"/>
    </row>
    <row r="2536" spans="1:1" x14ac:dyDescent="0.6">
      <c r="A2536" s="41"/>
    </row>
    <row r="2537" spans="1:1" x14ac:dyDescent="0.6">
      <c r="A2537" s="41"/>
    </row>
    <row r="2538" spans="1:1" x14ac:dyDescent="0.6">
      <c r="A2538" s="41"/>
    </row>
    <row r="2539" spans="1:1" x14ac:dyDescent="0.6">
      <c r="A2539" s="41"/>
    </row>
    <row r="2540" spans="1:1" x14ac:dyDescent="0.6">
      <c r="A2540" s="41"/>
    </row>
    <row r="2541" spans="1:1" x14ac:dyDescent="0.6">
      <c r="A2541" s="41"/>
    </row>
    <row r="2542" spans="1:1" x14ac:dyDescent="0.6">
      <c r="A2542" s="41"/>
    </row>
    <row r="2543" spans="1:1" x14ac:dyDescent="0.6">
      <c r="A2543" s="41"/>
    </row>
    <row r="2544" spans="1:1" x14ac:dyDescent="0.6">
      <c r="A2544" s="41"/>
    </row>
    <row r="2545" spans="1:1" x14ac:dyDescent="0.6">
      <c r="A2545" s="41"/>
    </row>
    <row r="2546" spans="1:1" x14ac:dyDescent="0.6">
      <c r="A2546" s="41"/>
    </row>
    <row r="2547" spans="1:1" x14ac:dyDescent="0.6">
      <c r="A2547" s="41"/>
    </row>
    <row r="2548" spans="1:1" x14ac:dyDescent="0.6">
      <c r="A2548" s="41"/>
    </row>
    <row r="2549" spans="1:1" x14ac:dyDescent="0.6">
      <c r="A2549" s="41"/>
    </row>
    <row r="2550" spans="1:1" x14ac:dyDescent="0.6">
      <c r="A2550" s="41"/>
    </row>
    <row r="2551" spans="1:1" x14ac:dyDescent="0.6">
      <c r="A2551" s="41"/>
    </row>
    <row r="2552" spans="1:1" x14ac:dyDescent="0.6">
      <c r="A2552" s="41"/>
    </row>
    <row r="2553" spans="1:1" x14ac:dyDescent="0.6">
      <c r="A2553" s="41"/>
    </row>
    <row r="2554" spans="1:1" x14ac:dyDescent="0.6">
      <c r="A2554" s="41"/>
    </row>
    <row r="2555" spans="1:1" x14ac:dyDescent="0.6">
      <c r="A2555" s="41"/>
    </row>
    <row r="2556" spans="1:1" x14ac:dyDescent="0.6">
      <c r="A2556" s="41"/>
    </row>
    <row r="2557" spans="1:1" x14ac:dyDescent="0.6">
      <c r="A2557" s="41"/>
    </row>
    <row r="2558" spans="1:1" x14ac:dyDescent="0.6">
      <c r="A2558" s="41"/>
    </row>
    <row r="2559" spans="1:1" x14ac:dyDescent="0.6">
      <c r="A2559" s="41"/>
    </row>
    <row r="2560" spans="1:1" x14ac:dyDescent="0.6">
      <c r="A2560" s="41"/>
    </row>
    <row r="2561" spans="1:1" x14ac:dyDescent="0.6">
      <c r="A2561" s="41"/>
    </row>
    <row r="2562" spans="1:1" x14ac:dyDescent="0.6">
      <c r="A2562" s="41"/>
    </row>
    <row r="2563" spans="1:1" x14ac:dyDescent="0.6">
      <c r="A2563" s="41"/>
    </row>
    <row r="2564" spans="1:1" x14ac:dyDescent="0.6">
      <c r="A2564" s="41"/>
    </row>
    <row r="2565" spans="1:1" x14ac:dyDescent="0.6">
      <c r="A2565" s="41"/>
    </row>
    <row r="2566" spans="1:1" x14ac:dyDescent="0.6">
      <c r="A2566" s="41"/>
    </row>
    <row r="2567" spans="1:1" x14ac:dyDescent="0.6">
      <c r="A2567" s="41"/>
    </row>
    <row r="2568" spans="1:1" x14ac:dyDescent="0.6">
      <c r="A2568" s="41"/>
    </row>
    <row r="2569" spans="1:1" x14ac:dyDescent="0.6">
      <c r="A2569" s="41"/>
    </row>
    <row r="2570" spans="1:1" x14ac:dyDescent="0.6">
      <c r="A2570" s="41"/>
    </row>
    <row r="2571" spans="1:1" x14ac:dyDescent="0.6">
      <c r="A2571" s="41"/>
    </row>
    <row r="2572" spans="1:1" x14ac:dyDescent="0.6">
      <c r="A2572" s="41"/>
    </row>
    <row r="2573" spans="1:1" x14ac:dyDescent="0.6">
      <c r="A2573" s="41"/>
    </row>
    <row r="2574" spans="1:1" x14ac:dyDescent="0.6">
      <c r="A2574" s="41"/>
    </row>
    <row r="2575" spans="1:1" x14ac:dyDescent="0.6">
      <c r="A2575" s="41"/>
    </row>
    <row r="2576" spans="1:1" x14ac:dyDescent="0.6">
      <c r="A2576" s="41"/>
    </row>
    <row r="2577" spans="1:1" x14ac:dyDescent="0.6">
      <c r="A2577" s="41"/>
    </row>
    <row r="2578" spans="1:1" x14ac:dyDescent="0.6">
      <c r="A2578" s="41"/>
    </row>
    <row r="2579" spans="1:1" x14ac:dyDescent="0.6">
      <c r="A2579" s="41"/>
    </row>
    <row r="2580" spans="1:1" x14ac:dyDescent="0.6">
      <c r="A2580" s="41"/>
    </row>
    <row r="2581" spans="1:1" x14ac:dyDescent="0.6">
      <c r="A2581" s="41"/>
    </row>
    <row r="2582" spans="1:1" x14ac:dyDescent="0.6">
      <c r="A2582" s="41"/>
    </row>
    <row r="2583" spans="1:1" x14ac:dyDescent="0.6">
      <c r="A2583" s="41"/>
    </row>
    <row r="2584" spans="1:1" x14ac:dyDescent="0.6">
      <c r="A2584" s="41"/>
    </row>
    <row r="2585" spans="1:1" x14ac:dyDescent="0.6">
      <c r="A2585" s="41"/>
    </row>
    <row r="2586" spans="1:1" x14ac:dyDescent="0.6">
      <c r="A2586" s="41"/>
    </row>
    <row r="2587" spans="1:1" x14ac:dyDescent="0.6">
      <c r="A2587" s="41"/>
    </row>
    <row r="2588" spans="1:1" x14ac:dyDescent="0.6">
      <c r="A2588" s="41"/>
    </row>
    <row r="2589" spans="1:1" x14ac:dyDescent="0.6">
      <c r="A2589" s="41"/>
    </row>
    <row r="2590" spans="1:1" x14ac:dyDescent="0.6">
      <c r="A2590" s="41"/>
    </row>
    <row r="2591" spans="1:1" x14ac:dyDescent="0.6">
      <c r="A2591" s="41"/>
    </row>
    <row r="2592" spans="1:1" x14ac:dyDescent="0.6">
      <c r="A2592" s="41"/>
    </row>
    <row r="2593" spans="1:1" x14ac:dyDescent="0.6">
      <c r="A2593" s="41"/>
    </row>
    <row r="2594" spans="1:1" x14ac:dyDescent="0.6">
      <c r="A2594" s="41"/>
    </row>
    <row r="2595" spans="1:1" x14ac:dyDescent="0.6">
      <c r="A2595" s="41"/>
    </row>
    <row r="2596" spans="1:1" x14ac:dyDescent="0.6">
      <c r="A2596" s="41"/>
    </row>
    <row r="2597" spans="1:1" x14ac:dyDescent="0.6">
      <c r="A2597" s="41"/>
    </row>
    <row r="2598" spans="1:1" x14ac:dyDescent="0.6">
      <c r="A2598" s="41"/>
    </row>
    <row r="2599" spans="1:1" x14ac:dyDescent="0.6">
      <c r="A2599" s="41"/>
    </row>
    <row r="2600" spans="1:1" x14ac:dyDescent="0.6">
      <c r="A2600" s="41"/>
    </row>
    <row r="2601" spans="1:1" x14ac:dyDescent="0.6">
      <c r="A2601" s="41"/>
    </row>
    <row r="2602" spans="1:1" x14ac:dyDescent="0.6">
      <c r="A2602" s="41"/>
    </row>
    <row r="2603" spans="1:1" x14ac:dyDescent="0.6">
      <c r="A2603" s="41"/>
    </row>
    <row r="2604" spans="1:1" x14ac:dyDescent="0.6">
      <c r="A2604" s="41"/>
    </row>
    <row r="2605" spans="1:1" x14ac:dyDescent="0.6">
      <c r="A2605" s="41"/>
    </row>
    <row r="2606" spans="1:1" x14ac:dyDescent="0.6">
      <c r="A2606" s="41"/>
    </row>
    <row r="2607" spans="1:1" x14ac:dyDescent="0.6">
      <c r="A2607" s="41"/>
    </row>
    <row r="2608" spans="1:1" x14ac:dyDescent="0.6">
      <c r="A2608" s="41"/>
    </row>
    <row r="2609" spans="1:1" x14ac:dyDescent="0.6">
      <c r="A2609" s="41"/>
    </row>
    <row r="2610" spans="1:1" x14ac:dyDescent="0.6">
      <c r="A2610" s="41"/>
    </row>
    <row r="2611" spans="1:1" x14ac:dyDescent="0.6">
      <c r="A2611" s="41"/>
    </row>
    <row r="2612" spans="1:1" x14ac:dyDescent="0.6">
      <c r="A2612" s="41"/>
    </row>
    <row r="2613" spans="1:1" x14ac:dyDescent="0.6">
      <c r="A2613" s="41"/>
    </row>
    <row r="2614" spans="1:1" x14ac:dyDescent="0.6">
      <c r="A2614" s="41"/>
    </row>
    <row r="2615" spans="1:1" x14ac:dyDescent="0.6">
      <c r="A2615" s="41"/>
    </row>
    <row r="2616" spans="1:1" x14ac:dyDescent="0.6">
      <c r="A2616" s="41"/>
    </row>
    <row r="2617" spans="1:1" x14ac:dyDescent="0.6">
      <c r="A2617" s="41"/>
    </row>
    <row r="2618" spans="1:1" x14ac:dyDescent="0.6">
      <c r="A2618" s="41"/>
    </row>
    <row r="2619" spans="1:1" x14ac:dyDescent="0.6">
      <c r="A2619" s="41"/>
    </row>
    <row r="2620" spans="1:1" x14ac:dyDescent="0.6">
      <c r="A2620" s="41"/>
    </row>
    <row r="2621" spans="1:1" x14ac:dyDescent="0.6">
      <c r="A2621" s="41"/>
    </row>
    <row r="2622" spans="1:1" x14ac:dyDescent="0.6">
      <c r="A2622" s="41"/>
    </row>
    <row r="2623" spans="1:1" x14ac:dyDescent="0.6">
      <c r="A2623" s="41"/>
    </row>
    <row r="2624" spans="1:1" x14ac:dyDescent="0.6">
      <c r="A2624" s="41"/>
    </row>
    <row r="2625" spans="1:1" x14ac:dyDescent="0.6">
      <c r="A2625" s="41"/>
    </row>
    <row r="2626" spans="1:1" x14ac:dyDescent="0.6">
      <c r="A2626" s="41"/>
    </row>
    <row r="2627" spans="1:1" x14ac:dyDescent="0.6">
      <c r="A2627" s="41"/>
    </row>
    <row r="2628" spans="1:1" x14ac:dyDescent="0.6">
      <c r="A2628" s="41"/>
    </row>
    <row r="2629" spans="1:1" x14ac:dyDescent="0.6">
      <c r="A2629" s="41"/>
    </row>
    <row r="2630" spans="1:1" x14ac:dyDescent="0.6">
      <c r="A2630" s="41"/>
    </row>
    <row r="2631" spans="1:1" x14ac:dyDescent="0.6">
      <c r="A2631" s="41"/>
    </row>
    <row r="2632" spans="1:1" x14ac:dyDescent="0.6">
      <c r="A2632" s="41"/>
    </row>
    <row r="2633" spans="1:1" x14ac:dyDescent="0.6">
      <c r="A2633" s="41"/>
    </row>
    <row r="2634" spans="1:1" x14ac:dyDescent="0.6">
      <c r="A2634" s="41"/>
    </row>
    <row r="2635" spans="1:1" x14ac:dyDescent="0.6">
      <c r="A2635" s="41"/>
    </row>
    <row r="2636" spans="1:1" x14ac:dyDescent="0.6">
      <c r="A2636" s="41"/>
    </row>
    <row r="2637" spans="1:1" x14ac:dyDescent="0.6">
      <c r="A2637" s="41"/>
    </row>
    <row r="2638" spans="1:1" x14ac:dyDescent="0.6">
      <c r="A2638" s="41"/>
    </row>
    <row r="2639" spans="1:1" x14ac:dyDescent="0.6">
      <c r="A2639" s="41"/>
    </row>
    <row r="2640" spans="1:1" x14ac:dyDescent="0.6">
      <c r="A2640" s="41"/>
    </row>
    <row r="2641" spans="1:1" x14ac:dyDescent="0.6">
      <c r="A2641" s="41"/>
    </row>
    <row r="2642" spans="1:1" x14ac:dyDescent="0.6">
      <c r="A2642" s="41"/>
    </row>
    <row r="2643" spans="1:1" x14ac:dyDescent="0.6">
      <c r="A2643" s="41"/>
    </row>
    <row r="2644" spans="1:1" x14ac:dyDescent="0.6">
      <c r="A2644" s="41"/>
    </row>
    <row r="2645" spans="1:1" x14ac:dyDescent="0.6">
      <c r="A2645" s="41"/>
    </row>
    <row r="2646" spans="1:1" x14ac:dyDescent="0.6">
      <c r="A2646" s="41"/>
    </row>
    <row r="2647" spans="1:1" x14ac:dyDescent="0.6">
      <c r="A2647" s="41"/>
    </row>
    <row r="2648" spans="1:1" x14ac:dyDescent="0.6">
      <c r="A2648" s="41"/>
    </row>
    <row r="2649" spans="1:1" x14ac:dyDescent="0.6">
      <c r="A2649" s="41"/>
    </row>
    <row r="2650" spans="1:1" x14ac:dyDescent="0.6">
      <c r="A2650" s="41"/>
    </row>
    <row r="2651" spans="1:1" x14ac:dyDescent="0.6">
      <c r="A2651" s="41"/>
    </row>
    <row r="2652" spans="1:1" x14ac:dyDescent="0.6">
      <c r="A2652" s="41"/>
    </row>
    <row r="2653" spans="1:1" x14ac:dyDescent="0.6">
      <c r="A2653" s="41"/>
    </row>
    <row r="2654" spans="1:1" x14ac:dyDescent="0.6">
      <c r="A2654" s="41"/>
    </row>
    <row r="2655" spans="1:1" x14ac:dyDescent="0.6">
      <c r="A2655" s="41"/>
    </row>
    <row r="2656" spans="1:1" x14ac:dyDescent="0.6">
      <c r="A2656" s="41"/>
    </row>
    <row r="2657" spans="1:1" x14ac:dyDescent="0.6">
      <c r="A2657" s="41"/>
    </row>
    <row r="2658" spans="1:1" x14ac:dyDescent="0.6">
      <c r="A2658" s="41"/>
    </row>
    <row r="2659" spans="1:1" x14ac:dyDescent="0.6">
      <c r="A2659" s="41"/>
    </row>
    <row r="2660" spans="1:1" x14ac:dyDescent="0.6">
      <c r="A2660" s="41"/>
    </row>
    <row r="2661" spans="1:1" x14ac:dyDescent="0.6">
      <c r="A2661" s="41"/>
    </row>
    <row r="2662" spans="1:1" x14ac:dyDescent="0.6">
      <c r="A2662" s="41"/>
    </row>
    <row r="2663" spans="1:1" x14ac:dyDescent="0.6">
      <c r="A2663" s="41"/>
    </row>
    <row r="2664" spans="1:1" x14ac:dyDescent="0.6">
      <c r="A2664" s="41"/>
    </row>
    <row r="2665" spans="1:1" x14ac:dyDescent="0.6">
      <c r="A2665" s="41"/>
    </row>
    <row r="2666" spans="1:1" x14ac:dyDescent="0.6">
      <c r="A2666" s="41"/>
    </row>
    <row r="2667" spans="1:1" x14ac:dyDescent="0.6">
      <c r="A2667" s="41"/>
    </row>
    <row r="2668" spans="1:1" x14ac:dyDescent="0.6">
      <c r="A2668" s="41"/>
    </row>
    <row r="2669" spans="1:1" x14ac:dyDescent="0.6">
      <c r="A2669" s="41"/>
    </row>
    <row r="2670" spans="1:1" x14ac:dyDescent="0.6">
      <c r="A2670" s="41"/>
    </row>
    <row r="2671" spans="1:1" x14ac:dyDescent="0.6">
      <c r="A2671" s="41"/>
    </row>
    <row r="2672" spans="1:1" x14ac:dyDescent="0.6">
      <c r="A2672" s="41"/>
    </row>
    <row r="2673" spans="1:1" x14ac:dyDescent="0.6">
      <c r="A2673" s="41"/>
    </row>
    <row r="2674" spans="1:1" x14ac:dyDescent="0.6">
      <c r="A2674" s="41"/>
    </row>
    <row r="2675" spans="1:1" x14ac:dyDescent="0.6">
      <c r="A2675" s="41"/>
    </row>
    <row r="2676" spans="1:1" x14ac:dyDescent="0.6">
      <c r="A2676" s="41"/>
    </row>
    <row r="2677" spans="1:1" x14ac:dyDescent="0.6">
      <c r="A2677" s="41"/>
    </row>
    <row r="2678" spans="1:1" x14ac:dyDescent="0.6">
      <c r="A2678" s="41"/>
    </row>
    <row r="2679" spans="1:1" x14ac:dyDescent="0.6">
      <c r="A2679" s="41"/>
    </row>
    <row r="2680" spans="1:1" x14ac:dyDescent="0.6">
      <c r="A2680" s="41"/>
    </row>
    <row r="2681" spans="1:1" x14ac:dyDescent="0.6">
      <c r="A2681" s="41"/>
    </row>
    <row r="2682" spans="1:1" x14ac:dyDescent="0.6">
      <c r="A2682" s="41"/>
    </row>
    <row r="2683" spans="1:1" x14ac:dyDescent="0.6">
      <c r="A2683" s="41"/>
    </row>
    <row r="2684" spans="1:1" x14ac:dyDescent="0.6">
      <c r="A2684" s="41"/>
    </row>
    <row r="2685" spans="1:1" x14ac:dyDescent="0.6">
      <c r="A2685" s="41"/>
    </row>
    <row r="2686" spans="1:1" x14ac:dyDescent="0.6">
      <c r="A2686" s="41"/>
    </row>
    <row r="2687" spans="1:1" x14ac:dyDescent="0.6">
      <c r="A2687" s="41"/>
    </row>
    <row r="2688" spans="1:1" x14ac:dyDescent="0.6">
      <c r="A2688" s="41"/>
    </row>
    <row r="2689" spans="1:1" x14ac:dyDescent="0.6">
      <c r="A2689" s="41"/>
    </row>
    <row r="2690" spans="1:1" x14ac:dyDescent="0.6">
      <c r="A2690" s="41"/>
    </row>
    <row r="2691" spans="1:1" x14ac:dyDescent="0.6">
      <c r="A2691" s="41"/>
    </row>
    <row r="2692" spans="1:1" x14ac:dyDescent="0.6">
      <c r="A2692" s="41"/>
    </row>
    <row r="2693" spans="1:1" x14ac:dyDescent="0.6">
      <c r="A2693" s="41"/>
    </row>
    <row r="2694" spans="1:1" x14ac:dyDescent="0.6">
      <c r="A2694" s="41"/>
    </row>
    <row r="2695" spans="1:1" x14ac:dyDescent="0.6">
      <c r="A2695" s="41"/>
    </row>
    <row r="2696" spans="1:1" x14ac:dyDescent="0.6">
      <c r="A2696" s="41"/>
    </row>
    <row r="2697" spans="1:1" x14ac:dyDescent="0.6">
      <c r="A2697" s="41"/>
    </row>
    <row r="2698" spans="1:1" x14ac:dyDescent="0.6">
      <c r="A2698" s="41"/>
    </row>
    <row r="2699" spans="1:1" x14ac:dyDescent="0.6">
      <c r="A2699" s="41"/>
    </row>
    <row r="2700" spans="1:1" x14ac:dyDescent="0.6">
      <c r="A2700" s="41"/>
    </row>
    <row r="2701" spans="1:1" x14ac:dyDescent="0.6">
      <c r="A2701" s="41"/>
    </row>
    <row r="2702" spans="1:1" x14ac:dyDescent="0.6">
      <c r="A2702" s="41"/>
    </row>
    <row r="2703" spans="1:1" x14ac:dyDescent="0.6">
      <c r="A2703" s="41"/>
    </row>
    <row r="2704" spans="1:1" x14ac:dyDescent="0.6">
      <c r="A2704" s="41"/>
    </row>
    <row r="2705" spans="1:1" x14ac:dyDescent="0.6">
      <c r="A2705" s="41"/>
    </row>
    <row r="2706" spans="1:1" x14ac:dyDescent="0.6">
      <c r="A2706" s="41"/>
    </row>
    <row r="2707" spans="1:1" x14ac:dyDescent="0.6">
      <c r="A2707" s="41"/>
    </row>
    <row r="2708" spans="1:1" x14ac:dyDescent="0.6">
      <c r="A2708" s="41"/>
    </row>
    <row r="2709" spans="1:1" x14ac:dyDescent="0.6">
      <c r="A2709" s="41"/>
    </row>
    <row r="2710" spans="1:1" x14ac:dyDescent="0.6">
      <c r="A2710" s="41"/>
    </row>
    <row r="2711" spans="1:1" x14ac:dyDescent="0.6">
      <c r="A2711" s="41"/>
    </row>
    <row r="2712" spans="1:1" x14ac:dyDescent="0.6">
      <c r="A2712" s="41"/>
    </row>
    <row r="2713" spans="1:1" x14ac:dyDescent="0.6">
      <c r="A2713" s="41"/>
    </row>
    <row r="2714" spans="1:1" x14ac:dyDescent="0.6">
      <c r="A2714" s="41"/>
    </row>
    <row r="2715" spans="1:1" x14ac:dyDescent="0.6">
      <c r="A2715" s="41"/>
    </row>
    <row r="2716" spans="1:1" x14ac:dyDescent="0.6">
      <c r="A2716" s="41"/>
    </row>
    <row r="2717" spans="1:1" x14ac:dyDescent="0.6">
      <c r="A2717" s="41"/>
    </row>
    <row r="2718" spans="1:1" x14ac:dyDescent="0.6">
      <c r="A2718" s="41"/>
    </row>
    <row r="2719" spans="1:1" x14ac:dyDescent="0.6">
      <c r="A2719" s="41"/>
    </row>
    <row r="2720" spans="1:1" x14ac:dyDescent="0.6">
      <c r="A2720" s="41"/>
    </row>
    <row r="2721" spans="1:1" x14ac:dyDescent="0.6">
      <c r="A2721" s="41"/>
    </row>
    <row r="2722" spans="1:1" x14ac:dyDescent="0.6">
      <c r="A2722" s="41"/>
    </row>
    <row r="2723" spans="1:1" x14ac:dyDescent="0.6">
      <c r="A2723" s="41"/>
    </row>
    <row r="2724" spans="1:1" x14ac:dyDescent="0.6">
      <c r="A2724" s="41"/>
    </row>
    <row r="2725" spans="1:1" x14ac:dyDescent="0.6">
      <c r="A2725" s="41"/>
    </row>
    <row r="2726" spans="1:1" x14ac:dyDescent="0.6">
      <c r="A2726" s="41"/>
    </row>
    <row r="2727" spans="1:1" x14ac:dyDescent="0.6">
      <c r="A2727" s="41"/>
    </row>
    <row r="2728" spans="1:1" x14ac:dyDescent="0.6">
      <c r="A2728" s="41"/>
    </row>
    <row r="2729" spans="1:1" x14ac:dyDescent="0.6">
      <c r="A2729" s="41"/>
    </row>
    <row r="2730" spans="1:1" x14ac:dyDescent="0.6">
      <c r="A2730" s="41"/>
    </row>
    <row r="2731" spans="1:1" x14ac:dyDescent="0.6">
      <c r="A2731" s="41"/>
    </row>
    <row r="2732" spans="1:1" x14ac:dyDescent="0.6">
      <c r="A2732" s="41"/>
    </row>
    <row r="2733" spans="1:1" x14ac:dyDescent="0.6">
      <c r="A2733" s="41"/>
    </row>
    <row r="2734" spans="1:1" x14ac:dyDescent="0.6">
      <c r="A2734" s="41"/>
    </row>
    <row r="2735" spans="1:1" x14ac:dyDescent="0.6">
      <c r="A2735" s="41"/>
    </row>
    <row r="2736" spans="1:1" x14ac:dyDescent="0.6">
      <c r="A2736" s="41"/>
    </row>
    <row r="2737" spans="1:1" x14ac:dyDescent="0.6">
      <c r="A2737" s="41"/>
    </row>
    <row r="2738" spans="1:1" x14ac:dyDescent="0.6">
      <c r="A2738" s="41"/>
    </row>
    <row r="2739" spans="1:1" x14ac:dyDescent="0.6">
      <c r="A2739" s="41"/>
    </row>
    <row r="2740" spans="1:1" x14ac:dyDescent="0.6">
      <c r="A2740" s="41"/>
    </row>
    <row r="2741" spans="1:1" x14ac:dyDescent="0.6">
      <c r="A2741" s="41"/>
    </row>
    <row r="2742" spans="1:1" x14ac:dyDescent="0.6">
      <c r="A2742" s="41"/>
    </row>
    <row r="2743" spans="1:1" x14ac:dyDescent="0.6">
      <c r="A2743" s="41"/>
    </row>
    <row r="2744" spans="1:1" x14ac:dyDescent="0.6">
      <c r="A2744" s="41"/>
    </row>
    <row r="2745" spans="1:1" x14ac:dyDescent="0.6">
      <c r="A2745" s="41"/>
    </row>
    <row r="2746" spans="1:1" x14ac:dyDescent="0.6">
      <c r="A2746" s="41"/>
    </row>
    <row r="2747" spans="1:1" x14ac:dyDescent="0.6">
      <c r="A2747" s="41"/>
    </row>
    <row r="2748" spans="1:1" x14ac:dyDescent="0.6">
      <c r="A2748" s="41"/>
    </row>
    <row r="2749" spans="1:1" x14ac:dyDescent="0.6">
      <c r="A2749" s="41"/>
    </row>
    <row r="2750" spans="1:1" x14ac:dyDescent="0.6">
      <c r="A2750" s="41"/>
    </row>
    <row r="2751" spans="1:1" x14ac:dyDescent="0.6">
      <c r="A2751" s="41"/>
    </row>
    <row r="2752" spans="1:1" x14ac:dyDescent="0.6">
      <c r="A2752" s="41"/>
    </row>
    <row r="2753" spans="1:1" x14ac:dyDescent="0.6">
      <c r="A2753" s="41"/>
    </row>
    <row r="2754" spans="1:1" x14ac:dyDescent="0.6">
      <c r="A2754" s="41"/>
    </row>
    <row r="2755" spans="1:1" x14ac:dyDescent="0.6">
      <c r="A2755" s="41"/>
    </row>
    <row r="2756" spans="1:1" x14ac:dyDescent="0.6">
      <c r="A2756" s="41"/>
    </row>
    <row r="2757" spans="1:1" x14ac:dyDescent="0.6">
      <c r="A2757" s="41"/>
    </row>
    <row r="2758" spans="1:1" x14ac:dyDescent="0.6">
      <c r="A2758" s="41"/>
    </row>
    <row r="2759" spans="1:1" x14ac:dyDescent="0.6">
      <c r="A2759" s="41"/>
    </row>
    <row r="2760" spans="1:1" x14ac:dyDescent="0.6">
      <c r="A2760" s="41"/>
    </row>
    <row r="2761" spans="1:1" x14ac:dyDescent="0.6">
      <c r="A2761" s="41"/>
    </row>
    <row r="2762" spans="1:1" x14ac:dyDescent="0.6">
      <c r="A2762" s="41"/>
    </row>
    <row r="2763" spans="1:1" x14ac:dyDescent="0.6">
      <c r="A2763" s="41"/>
    </row>
    <row r="2764" spans="1:1" x14ac:dyDescent="0.6">
      <c r="A2764" s="41"/>
    </row>
    <row r="2765" spans="1:1" x14ac:dyDescent="0.6">
      <c r="A2765" s="41"/>
    </row>
    <row r="2766" spans="1:1" x14ac:dyDescent="0.6">
      <c r="A2766" s="41"/>
    </row>
    <row r="2767" spans="1:1" x14ac:dyDescent="0.6">
      <c r="A2767" s="41"/>
    </row>
    <row r="2768" spans="1:1" x14ac:dyDescent="0.6">
      <c r="A2768" s="41"/>
    </row>
    <row r="2769" spans="1:1" x14ac:dyDescent="0.6">
      <c r="A2769" s="41"/>
    </row>
    <row r="2770" spans="1:1" x14ac:dyDescent="0.6">
      <c r="A2770" s="41"/>
    </row>
    <row r="2771" spans="1:1" x14ac:dyDescent="0.6">
      <c r="A2771" s="41"/>
    </row>
    <row r="2772" spans="1:1" x14ac:dyDescent="0.6">
      <c r="A2772" s="41"/>
    </row>
    <row r="2773" spans="1:1" x14ac:dyDescent="0.6">
      <c r="A2773" s="41"/>
    </row>
    <row r="2774" spans="1:1" x14ac:dyDescent="0.6">
      <c r="A2774" s="41"/>
    </row>
    <row r="2775" spans="1:1" x14ac:dyDescent="0.6">
      <c r="A2775" s="41"/>
    </row>
    <row r="2776" spans="1:1" x14ac:dyDescent="0.6">
      <c r="A2776" s="41"/>
    </row>
    <row r="2777" spans="1:1" x14ac:dyDescent="0.6">
      <c r="A2777" s="41"/>
    </row>
    <row r="2778" spans="1:1" x14ac:dyDescent="0.6">
      <c r="A2778" s="41"/>
    </row>
    <row r="2779" spans="1:1" x14ac:dyDescent="0.6">
      <c r="A2779" s="41"/>
    </row>
    <row r="2780" spans="1:1" x14ac:dyDescent="0.6">
      <c r="A2780" s="41"/>
    </row>
    <row r="2781" spans="1:1" x14ac:dyDescent="0.6">
      <c r="A2781" s="41"/>
    </row>
    <row r="2782" spans="1:1" x14ac:dyDescent="0.6">
      <c r="A2782" s="41"/>
    </row>
    <row r="2783" spans="1:1" x14ac:dyDescent="0.6">
      <c r="A2783" s="41"/>
    </row>
    <row r="2784" spans="1:1" x14ac:dyDescent="0.6">
      <c r="A2784" s="41"/>
    </row>
    <row r="2785" spans="1:1" x14ac:dyDescent="0.6">
      <c r="A2785" s="41"/>
    </row>
    <row r="2786" spans="1:1" x14ac:dyDescent="0.6">
      <c r="A2786" s="41"/>
    </row>
    <row r="2787" spans="1:1" x14ac:dyDescent="0.6">
      <c r="A2787" s="41"/>
    </row>
    <row r="2788" spans="1:1" x14ac:dyDescent="0.6">
      <c r="A2788" s="41"/>
    </row>
    <row r="2789" spans="1:1" x14ac:dyDescent="0.6">
      <c r="A2789" s="41"/>
    </row>
    <row r="2790" spans="1:1" x14ac:dyDescent="0.6">
      <c r="A2790" s="41"/>
    </row>
    <row r="2791" spans="1:1" x14ac:dyDescent="0.6">
      <c r="A2791" s="41"/>
    </row>
    <row r="2792" spans="1:1" x14ac:dyDescent="0.6">
      <c r="A2792" s="41"/>
    </row>
    <row r="2793" spans="1:1" x14ac:dyDescent="0.6">
      <c r="A2793" s="41"/>
    </row>
    <row r="2794" spans="1:1" x14ac:dyDescent="0.6">
      <c r="A2794" s="41"/>
    </row>
    <row r="2795" spans="1:1" x14ac:dyDescent="0.6">
      <c r="A2795" s="41"/>
    </row>
    <row r="2796" spans="1:1" x14ac:dyDescent="0.6">
      <c r="A2796" s="41"/>
    </row>
    <row r="2797" spans="1:1" x14ac:dyDescent="0.6">
      <c r="A2797" s="41"/>
    </row>
    <row r="2798" spans="1:1" x14ac:dyDescent="0.6">
      <c r="A2798" s="41"/>
    </row>
    <row r="2799" spans="1:1" x14ac:dyDescent="0.6">
      <c r="A2799" s="41"/>
    </row>
    <row r="2800" spans="1:1" x14ac:dyDescent="0.6">
      <c r="A2800" s="41"/>
    </row>
    <row r="2801" spans="1:1" x14ac:dyDescent="0.6">
      <c r="A2801" s="41"/>
    </row>
    <row r="2802" spans="1:1" x14ac:dyDescent="0.6">
      <c r="A2802" s="41"/>
    </row>
    <row r="2803" spans="1:1" x14ac:dyDescent="0.6">
      <c r="A2803" s="41"/>
    </row>
    <row r="2804" spans="1:1" x14ac:dyDescent="0.6">
      <c r="A2804" s="41"/>
    </row>
    <row r="2805" spans="1:1" x14ac:dyDescent="0.6">
      <c r="A2805" s="41"/>
    </row>
    <row r="2806" spans="1:1" x14ac:dyDescent="0.6">
      <c r="A2806" s="41"/>
    </row>
    <row r="2807" spans="1:1" x14ac:dyDescent="0.6">
      <c r="A2807" s="41"/>
    </row>
    <row r="2808" spans="1:1" x14ac:dyDescent="0.6">
      <c r="A2808" s="41"/>
    </row>
    <row r="2809" spans="1:1" x14ac:dyDescent="0.6">
      <c r="A2809" s="41"/>
    </row>
    <row r="2810" spans="1:1" x14ac:dyDescent="0.6">
      <c r="A2810" s="41"/>
    </row>
    <row r="2811" spans="1:1" x14ac:dyDescent="0.6">
      <c r="A2811" s="41"/>
    </row>
    <row r="2812" spans="1:1" x14ac:dyDescent="0.6">
      <c r="A2812" s="41"/>
    </row>
    <row r="2813" spans="1:1" x14ac:dyDescent="0.6">
      <c r="A2813" s="41"/>
    </row>
    <row r="2814" spans="1:1" x14ac:dyDescent="0.6">
      <c r="A2814" s="41"/>
    </row>
    <row r="2815" spans="1:1" x14ac:dyDescent="0.6">
      <c r="A2815" s="41"/>
    </row>
    <row r="2816" spans="1:1" x14ac:dyDescent="0.6">
      <c r="A2816" s="41"/>
    </row>
    <row r="2817" spans="1:1" x14ac:dyDescent="0.6">
      <c r="A2817" s="41"/>
    </row>
    <row r="2818" spans="1:1" x14ac:dyDescent="0.6">
      <c r="A2818" s="41"/>
    </row>
    <row r="2819" spans="1:1" x14ac:dyDescent="0.6">
      <c r="A2819" s="41"/>
    </row>
    <row r="2820" spans="1:1" x14ac:dyDescent="0.6">
      <c r="A2820" s="41"/>
    </row>
    <row r="2821" spans="1:1" x14ac:dyDescent="0.6">
      <c r="A2821" s="41"/>
    </row>
    <row r="2822" spans="1:1" x14ac:dyDescent="0.6">
      <c r="A2822" s="41"/>
    </row>
    <row r="2823" spans="1:1" x14ac:dyDescent="0.6">
      <c r="A2823" s="41"/>
    </row>
    <row r="2824" spans="1:1" x14ac:dyDescent="0.6">
      <c r="A2824" s="41"/>
    </row>
    <row r="2825" spans="1:1" x14ac:dyDescent="0.6">
      <c r="A2825" s="41"/>
    </row>
    <row r="2826" spans="1:1" x14ac:dyDescent="0.6">
      <c r="A2826" s="41"/>
    </row>
    <row r="2827" spans="1:1" x14ac:dyDescent="0.6">
      <c r="A2827" s="41"/>
    </row>
    <row r="2828" spans="1:1" x14ac:dyDescent="0.6">
      <c r="A2828" s="41"/>
    </row>
    <row r="2829" spans="1:1" x14ac:dyDescent="0.6">
      <c r="A2829" s="41"/>
    </row>
    <row r="2830" spans="1:1" x14ac:dyDescent="0.6">
      <c r="A2830" s="41"/>
    </row>
    <row r="2831" spans="1:1" x14ac:dyDescent="0.6">
      <c r="A2831" s="41"/>
    </row>
    <row r="2832" spans="1:1" x14ac:dyDescent="0.6">
      <c r="A2832" s="41"/>
    </row>
    <row r="2833" spans="1:1" x14ac:dyDescent="0.6">
      <c r="A2833" s="41"/>
    </row>
    <row r="2834" spans="1:1" x14ac:dyDescent="0.6">
      <c r="A2834" s="41"/>
    </row>
    <row r="2835" spans="1:1" x14ac:dyDescent="0.6">
      <c r="A2835" s="41"/>
    </row>
    <row r="2836" spans="1:1" x14ac:dyDescent="0.6">
      <c r="A2836" s="41"/>
    </row>
    <row r="2837" spans="1:1" x14ac:dyDescent="0.6">
      <c r="A2837" s="41"/>
    </row>
    <row r="2838" spans="1:1" x14ac:dyDescent="0.6">
      <c r="A2838" s="41"/>
    </row>
    <row r="2839" spans="1:1" x14ac:dyDescent="0.6">
      <c r="A2839" s="41"/>
    </row>
    <row r="2840" spans="1:1" x14ac:dyDescent="0.6">
      <c r="A2840" s="41"/>
    </row>
    <row r="2841" spans="1:1" x14ac:dyDescent="0.6">
      <c r="A2841" s="41"/>
    </row>
    <row r="2842" spans="1:1" x14ac:dyDescent="0.6">
      <c r="A2842" s="41"/>
    </row>
    <row r="2843" spans="1:1" x14ac:dyDescent="0.6">
      <c r="A2843" s="41"/>
    </row>
    <row r="2844" spans="1:1" x14ac:dyDescent="0.6">
      <c r="A2844" s="41"/>
    </row>
    <row r="2845" spans="1:1" x14ac:dyDescent="0.6">
      <c r="A2845" s="41"/>
    </row>
    <row r="2846" spans="1:1" x14ac:dyDescent="0.6">
      <c r="A2846" s="41"/>
    </row>
    <row r="2847" spans="1:1" x14ac:dyDescent="0.6">
      <c r="A2847" s="41"/>
    </row>
    <row r="2848" spans="1:1" x14ac:dyDescent="0.6">
      <c r="A2848" s="41"/>
    </row>
    <row r="2849" spans="1:1" x14ac:dyDescent="0.6">
      <c r="A2849" s="41"/>
    </row>
    <row r="2850" spans="1:1" x14ac:dyDescent="0.6">
      <c r="A2850" s="41"/>
    </row>
    <row r="2851" spans="1:1" x14ac:dyDescent="0.6">
      <c r="A2851" s="41"/>
    </row>
    <row r="2852" spans="1:1" x14ac:dyDescent="0.6">
      <c r="A2852" s="41"/>
    </row>
    <row r="2853" spans="1:1" x14ac:dyDescent="0.6">
      <c r="A2853" s="41"/>
    </row>
    <row r="2854" spans="1:1" x14ac:dyDescent="0.6">
      <c r="A2854" s="41"/>
    </row>
    <row r="2855" spans="1:1" x14ac:dyDescent="0.6">
      <c r="A2855" s="41"/>
    </row>
    <row r="2856" spans="1:1" x14ac:dyDescent="0.6">
      <c r="A2856" s="41"/>
    </row>
    <row r="2857" spans="1:1" x14ac:dyDescent="0.6">
      <c r="A2857" s="41"/>
    </row>
    <row r="2858" spans="1:1" x14ac:dyDescent="0.6">
      <c r="A2858" s="41"/>
    </row>
    <row r="2859" spans="1:1" x14ac:dyDescent="0.6">
      <c r="A2859" s="41"/>
    </row>
    <row r="2860" spans="1:1" x14ac:dyDescent="0.6">
      <c r="A2860" s="41"/>
    </row>
    <row r="2861" spans="1:1" x14ac:dyDescent="0.6">
      <c r="A2861" s="41"/>
    </row>
    <row r="2862" spans="1:1" x14ac:dyDescent="0.6">
      <c r="A2862" s="41"/>
    </row>
    <row r="2863" spans="1:1" x14ac:dyDescent="0.6">
      <c r="A2863" s="41"/>
    </row>
    <row r="2864" spans="1:1" x14ac:dyDescent="0.6">
      <c r="A2864" s="41"/>
    </row>
    <row r="2865" spans="1:1" x14ac:dyDescent="0.6">
      <c r="A2865" s="41"/>
    </row>
    <row r="2866" spans="1:1" x14ac:dyDescent="0.6">
      <c r="A2866" s="41"/>
    </row>
    <row r="2867" spans="1:1" x14ac:dyDescent="0.6">
      <c r="A2867" s="41"/>
    </row>
    <row r="2868" spans="1:1" x14ac:dyDescent="0.6">
      <c r="A2868" s="41"/>
    </row>
    <row r="2869" spans="1:1" x14ac:dyDescent="0.6">
      <c r="A2869" s="41"/>
    </row>
    <row r="2870" spans="1:1" x14ac:dyDescent="0.6">
      <c r="A2870" s="41"/>
    </row>
    <row r="2871" spans="1:1" x14ac:dyDescent="0.6">
      <c r="A2871" s="41"/>
    </row>
    <row r="2872" spans="1:1" x14ac:dyDescent="0.6">
      <c r="A2872" s="41"/>
    </row>
    <row r="2873" spans="1:1" x14ac:dyDescent="0.6">
      <c r="A2873" s="41"/>
    </row>
    <row r="2874" spans="1:1" x14ac:dyDescent="0.6">
      <c r="A2874" s="41"/>
    </row>
    <row r="2875" spans="1:1" x14ac:dyDescent="0.6">
      <c r="A2875" s="41"/>
    </row>
    <row r="2876" spans="1:1" x14ac:dyDescent="0.6">
      <c r="A2876" s="41"/>
    </row>
    <row r="2877" spans="1:1" x14ac:dyDescent="0.6">
      <c r="A2877" s="41"/>
    </row>
    <row r="2878" spans="1:1" x14ac:dyDescent="0.6">
      <c r="A2878" s="41"/>
    </row>
    <row r="2879" spans="1:1" x14ac:dyDescent="0.6">
      <c r="A2879" s="41"/>
    </row>
    <row r="2880" spans="1:1" x14ac:dyDescent="0.6">
      <c r="A2880" s="41"/>
    </row>
    <row r="2881" spans="1:1" x14ac:dyDescent="0.6">
      <c r="A2881" s="41"/>
    </row>
    <row r="2882" spans="1:1" x14ac:dyDescent="0.6">
      <c r="A2882" s="41"/>
    </row>
    <row r="2883" spans="1:1" x14ac:dyDescent="0.6">
      <c r="A2883" s="41"/>
    </row>
    <row r="2884" spans="1:1" x14ac:dyDescent="0.6">
      <c r="A2884" s="41"/>
    </row>
    <row r="2885" spans="1:1" x14ac:dyDescent="0.6">
      <c r="A2885" s="41"/>
    </row>
    <row r="2886" spans="1:1" x14ac:dyDescent="0.6">
      <c r="A2886" s="41"/>
    </row>
    <row r="2887" spans="1:1" x14ac:dyDescent="0.6">
      <c r="A2887" s="41"/>
    </row>
    <row r="2888" spans="1:1" x14ac:dyDescent="0.6">
      <c r="A2888" s="41"/>
    </row>
    <row r="2889" spans="1:1" x14ac:dyDescent="0.6">
      <c r="A2889" s="41"/>
    </row>
    <row r="2890" spans="1:1" x14ac:dyDescent="0.6">
      <c r="A2890" s="41"/>
    </row>
    <row r="2891" spans="1:1" x14ac:dyDescent="0.6">
      <c r="A2891" s="41"/>
    </row>
    <row r="2892" spans="1:1" x14ac:dyDescent="0.6">
      <c r="A2892" s="41"/>
    </row>
    <row r="2893" spans="1:1" x14ac:dyDescent="0.6">
      <c r="A2893" s="41"/>
    </row>
    <row r="2894" spans="1:1" x14ac:dyDescent="0.6">
      <c r="A2894" s="41"/>
    </row>
    <row r="2895" spans="1:1" x14ac:dyDescent="0.6">
      <c r="A2895" s="41"/>
    </row>
    <row r="2896" spans="1:1" x14ac:dyDescent="0.6">
      <c r="A2896" s="41"/>
    </row>
    <row r="2897" spans="1:1" x14ac:dyDescent="0.6">
      <c r="A2897" s="41"/>
    </row>
    <row r="2898" spans="1:1" x14ac:dyDescent="0.6">
      <c r="A2898" s="41"/>
    </row>
    <row r="2899" spans="1:1" x14ac:dyDescent="0.6">
      <c r="A2899" s="41"/>
    </row>
    <row r="2900" spans="1:1" x14ac:dyDescent="0.6">
      <c r="A2900" s="41"/>
    </row>
    <row r="2901" spans="1:1" x14ac:dyDescent="0.6">
      <c r="A2901" s="41"/>
    </row>
    <row r="2902" spans="1:1" x14ac:dyDescent="0.6">
      <c r="A2902" s="41"/>
    </row>
    <row r="2903" spans="1:1" x14ac:dyDescent="0.6">
      <c r="A2903" s="41"/>
    </row>
    <row r="2904" spans="1:1" x14ac:dyDescent="0.6">
      <c r="A2904" s="41"/>
    </row>
    <row r="2905" spans="1:1" x14ac:dyDescent="0.6">
      <c r="A2905" s="41"/>
    </row>
    <row r="2906" spans="1:1" x14ac:dyDescent="0.6">
      <c r="A2906" s="41"/>
    </row>
    <row r="2907" spans="1:1" x14ac:dyDescent="0.6">
      <c r="A2907" s="41"/>
    </row>
    <row r="2908" spans="1:1" x14ac:dyDescent="0.6">
      <c r="A2908" s="41"/>
    </row>
    <row r="2909" spans="1:1" x14ac:dyDescent="0.6">
      <c r="A2909" s="41"/>
    </row>
    <row r="2910" spans="1:1" x14ac:dyDescent="0.6">
      <c r="A2910" s="41"/>
    </row>
    <row r="2911" spans="1:1" x14ac:dyDescent="0.6">
      <c r="A2911" s="41"/>
    </row>
    <row r="2912" spans="1:1" x14ac:dyDescent="0.6">
      <c r="A2912" s="41"/>
    </row>
    <row r="2913" spans="1:1" x14ac:dyDescent="0.6">
      <c r="A2913" s="41"/>
    </row>
    <row r="2914" spans="1:1" x14ac:dyDescent="0.6">
      <c r="A2914" s="41"/>
    </row>
    <row r="2915" spans="1:1" x14ac:dyDescent="0.6">
      <c r="A2915" s="41"/>
    </row>
    <row r="2916" spans="1:1" x14ac:dyDescent="0.6">
      <c r="A2916" s="41"/>
    </row>
    <row r="2917" spans="1:1" x14ac:dyDescent="0.6">
      <c r="A2917" s="41"/>
    </row>
    <row r="2918" spans="1:1" x14ac:dyDescent="0.6">
      <c r="A2918" s="41"/>
    </row>
    <row r="2919" spans="1:1" x14ac:dyDescent="0.6">
      <c r="A2919" s="41"/>
    </row>
    <row r="2920" spans="1:1" x14ac:dyDescent="0.6">
      <c r="A2920" s="41"/>
    </row>
    <row r="2921" spans="1:1" x14ac:dyDescent="0.6">
      <c r="A2921" s="41"/>
    </row>
    <row r="2922" spans="1:1" x14ac:dyDescent="0.6">
      <c r="A2922" s="41"/>
    </row>
    <row r="2923" spans="1:1" x14ac:dyDescent="0.6">
      <c r="A2923" s="41"/>
    </row>
    <row r="2924" spans="1:1" x14ac:dyDescent="0.6">
      <c r="A2924" s="41"/>
    </row>
    <row r="2925" spans="1:1" x14ac:dyDescent="0.6">
      <c r="A2925" s="41"/>
    </row>
    <row r="2926" spans="1:1" x14ac:dyDescent="0.6">
      <c r="A2926" s="41"/>
    </row>
    <row r="2927" spans="1:1" x14ac:dyDescent="0.6">
      <c r="A2927" s="41"/>
    </row>
    <row r="2928" spans="1:1" x14ac:dyDescent="0.6">
      <c r="A2928" s="41"/>
    </row>
    <row r="2929" spans="1:1" x14ac:dyDescent="0.6">
      <c r="A2929" s="41"/>
    </row>
    <row r="2930" spans="1:1" x14ac:dyDescent="0.6">
      <c r="A2930" s="41"/>
    </row>
    <row r="2931" spans="1:1" x14ac:dyDescent="0.6">
      <c r="A2931" s="41"/>
    </row>
    <row r="2932" spans="1:1" x14ac:dyDescent="0.6">
      <c r="A2932" s="41"/>
    </row>
    <row r="2933" spans="1:1" x14ac:dyDescent="0.6">
      <c r="A2933" s="41"/>
    </row>
    <row r="2934" spans="1:1" x14ac:dyDescent="0.6">
      <c r="A2934" s="41"/>
    </row>
    <row r="2935" spans="1:1" x14ac:dyDescent="0.6">
      <c r="A2935" s="41"/>
    </row>
    <row r="2936" spans="1:1" x14ac:dyDescent="0.6">
      <c r="A2936" s="41"/>
    </row>
    <row r="2937" spans="1:1" x14ac:dyDescent="0.6">
      <c r="A2937" s="41"/>
    </row>
    <row r="2938" spans="1:1" x14ac:dyDescent="0.6">
      <c r="A2938" s="41"/>
    </row>
    <row r="2939" spans="1:1" x14ac:dyDescent="0.6">
      <c r="A2939" s="41"/>
    </row>
    <row r="2940" spans="1:1" x14ac:dyDescent="0.6">
      <c r="A2940" s="41"/>
    </row>
    <row r="2941" spans="1:1" x14ac:dyDescent="0.6">
      <c r="A2941" s="41"/>
    </row>
    <row r="2942" spans="1:1" x14ac:dyDescent="0.6">
      <c r="A2942" s="41"/>
    </row>
    <row r="2943" spans="1:1" x14ac:dyDescent="0.6">
      <c r="A2943" s="41"/>
    </row>
    <row r="2944" spans="1:1" x14ac:dyDescent="0.6">
      <c r="A2944" s="41"/>
    </row>
    <row r="2945" spans="1:1" x14ac:dyDescent="0.6">
      <c r="A2945" s="41"/>
    </row>
    <row r="2946" spans="1:1" x14ac:dyDescent="0.6">
      <c r="A2946" s="41"/>
    </row>
    <row r="2947" spans="1:1" x14ac:dyDescent="0.6">
      <c r="A2947" s="41"/>
    </row>
    <row r="2948" spans="1:1" x14ac:dyDescent="0.6">
      <c r="A2948" s="41"/>
    </row>
    <row r="2949" spans="1:1" x14ac:dyDescent="0.6">
      <c r="A2949" s="41"/>
    </row>
    <row r="2950" spans="1:1" x14ac:dyDescent="0.6">
      <c r="A2950" s="41"/>
    </row>
    <row r="2951" spans="1:1" x14ac:dyDescent="0.6">
      <c r="A2951" s="41"/>
    </row>
    <row r="2952" spans="1:1" x14ac:dyDescent="0.6">
      <c r="A2952" s="41"/>
    </row>
    <row r="2953" spans="1:1" x14ac:dyDescent="0.6">
      <c r="A2953" s="41"/>
    </row>
    <row r="2954" spans="1:1" x14ac:dyDescent="0.6">
      <c r="A2954" s="41"/>
    </row>
    <row r="2955" spans="1:1" x14ac:dyDescent="0.6">
      <c r="A2955" s="41"/>
    </row>
    <row r="2956" spans="1:1" x14ac:dyDescent="0.6">
      <c r="A2956" s="41"/>
    </row>
    <row r="2957" spans="1:1" x14ac:dyDescent="0.6">
      <c r="A2957" s="41"/>
    </row>
    <row r="2958" spans="1:1" x14ac:dyDescent="0.6">
      <c r="A2958" s="41"/>
    </row>
    <row r="2959" spans="1:1" x14ac:dyDescent="0.6">
      <c r="A2959" s="41"/>
    </row>
    <row r="2960" spans="1:1" x14ac:dyDescent="0.6">
      <c r="A2960" s="41"/>
    </row>
    <row r="2961" spans="1:1" x14ac:dyDescent="0.6">
      <c r="A2961" s="41"/>
    </row>
    <row r="2962" spans="1:1" x14ac:dyDescent="0.6">
      <c r="A2962" s="41"/>
    </row>
    <row r="2963" spans="1:1" x14ac:dyDescent="0.6">
      <c r="A2963" s="41"/>
    </row>
    <row r="2964" spans="1:1" x14ac:dyDescent="0.6">
      <c r="A2964" s="41"/>
    </row>
    <row r="2965" spans="1:1" x14ac:dyDescent="0.6">
      <c r="A2965" s="41"/>
    </row>
    <row r="2966" spans="1:1" x14ac:dyDescent="0.6">
      <c r="A2966" s="41"/>
    </row>
    <row r="2967" spans="1:1" x14ac:dyDescent="0.6">
      <c r="A2967" s="41"/>
    </row>
    <row r="2968" spans="1:1" x14ac:dyDescent="0.6">
      <c r="A2968" s="41"/>
    </row>
    <row r="2969" spans="1:1" x14ac:dyDescent="0.6">
      <c r="A2969" s="41"/>
    </row>
    <row r="2970" spans="1:1" x14ac:dyDescent="0.6">
      <c r="A2970" s="41"/>
    </row>
    <row r="2971" spans="1:1" x14ac:dyDescent="0.6">
      <c r="A2971" s="41"/>
    </row>
    <row r="2972" spans="1:1" x14ac:dyDescent="0.6">
      <c r="A2972" s="41"/>
    </row>
    <row r="2973" spans="1:1" x14ac:dyDescent="0.6">
      <c r="A2973" s="41"/>
    </row>
    <row r="2974" spans="1:1" x14ac:dyDescent="0.6">
      <c r="A2974" s="41"/>
    </row>
    <row r="2975" spans="1:1" x14ac:dyDescent="0.6">
      <c r="A2975" s="41"/>
    </row>
    <row r="2976" spans="1:1" x14ac:dyDescent="0.6">
      <c r="A2976" s="41"/>
    </row>
    <row r="2977" spans="1:1" x14ac:dyDescent="0.6">
      <c r="A2977" s="41"/>
    </row>
    <row r="2978" spans="1:1" x14ac:dyDescent="0.6">
      <c r="A2978" s="41"/>
    </row>
    <row r="2979" spans="1:1" x14ac:dyDescent="0.6">
      <c r="A2979" s="41"/>
    </row>
    <row r="2980" spans="1:1" x14ac:dyDescent="0.6">
      <c r="A2980" s="41"/>
    </row>
    <row r="2981" spans="1:1" x14ac:dyDescent="0.6">
      <c r="A2981" s="41"/>
    </row>
    <row r="2982" spans="1:1" x14ac:dyDescent="0.6">
      <c r="A2982" s="41"/>
    </row>
    <row r="2983" spans="1:1" x14ac:dyDescent="0.6">
      <c r="A2983" s="41"/>
    </row>
    <row r="2984" spans="1:1" x14ac:dyDescent="0.6">
      <c r="A2984" s="41"/>
    </row>
    <row r="2985" spans="1:1" x14ac:dyDescent="0.6">
      <c r="A2985" s="41"/>
    </row>
    <row r="2986" spans="1:1" x14ac:dyDescent="0.6">
      <c r="A2986" s="41"/>
    </row>
    <row r="2987" spans="1:1" x14ac:dyDescent="0.6">
      <c r="A2987" s="41"/>
    </row>
    <row r="2988" spans="1:1" x14ac:dyDescent="0.6">
      <c r="A2988" s="41"/>
    </row>
    <row r="2989" spans="1:1" x14ac:dyDescent="0.6">
      <c r="A2989" s="41"/>
    </row>
    <row r="2990" spans="1:1" x14ac:dyDescent="0.6">
      <c r="A2990" s="41"/>
    </row>
    <row r="2991" spans="1:1" x14ac:dyDescent="0.6">
      <c r="A2991" s="41"/>
    </row>
    <row r="2992" spans="1:1" x14ac:dyDescent="0.6">
      <c r="A2992" s="41"/>
    </row>
    <row r="2993" spans="1:1" x14ac:dyDescent="0.6">
      <c r="A2993" s="41"/>
    </row>
    <row r="2994" spans="1:1" x14ac:dyDescent="0.6">
      <c r="A2994" s="41"/>
    </row>
    <row r="2995" spans="1:1" x14ac:dyDescent="0.6">
      <c r="A2995" s="41"/>
    </row>
    <row r="2996" spans="1:1" x14ac:dyDescent="0.6">
      <c r="A2996" s="41"/>
    </row>
    <row r="2997" spans="1:1" x14ac:dyDescent="0.6">
      <c r="A2997" s="41"/>
    </row>
    <row r="2998" spans="1:1" x14ac:dyDescent="0.6">
      <c r="A2998" s="41"/>
    </row>
    <row r="2999" spans="1:1" x14ac:dyDescent="0.6">
      <c r="A2999" s="41"/>
    </row>
    <row r="3000" spans="1:1" x14ac:dyDescent="0.6">
      <c r="A3000" s="41"/>
    </row>
    <row r="3001" spans="1:1" x14ac:dyDescent="0.6">
      <c r="A3001" s="41"/>
    </row>
    <row r="3002" spans="1:1" x14ac:dyDescent="0.6">
      <c r="A3002" s="41"/>
    </row>
    <row r="3003" spans="1:1" x14ac:dyDescent="0.6">
      <c r="A3003" s="41"/>
    </row>
    <row r="3004" spans="1:1" x14ac:dyDescent="0.6">
      <c r="A3004" s="41"/>
    </row>
    <row r="3005" spans="1:1" x14ac:dyDescent="0.6">
      <c r="A3005" s="41"/>
    </row>
    <row r="3006" spans="1:1" x14ac:dyDescent="0.6">
      <c r="A3006" s="41"/>
    </row>
    <row r="3007" spans="1:1" x14ac:dyDescent="0.6">
      <c r="A3007" s="41"/>
    </row>
    <row r="3008" spans="1:1" x14ac:dyDescent="0.6">
      <c r="A3008" s="41"/>
    </row>
    <row r="3009" spans="1:1" x14ac:dyDescent="0.6">
      <c r="A3009" s="41"/>
    </row>
    <row r="3010" spans="1:1" x14ac:dyDescent="0.6">
      <c r="A3010" s="41"/>
    </row>
    <row r="3011" spans="1:1" x14ac:dyDescent="0.6">
      <c r="A3011" s="41"/>
    </row>
    <row r="3012" spans="1:1" x14ac:dyDescent="0.6">
      <c r="A3012" s="41"/>
    </row>
    <row r="3013" spans="1:1" x14ac:dyDescent="0.6">
      <c r="A3013" s="41"/>
    </row>
    <row r="3014" spans="1:1" x14ac:dyDescent="0.6">
      <c r="A3014" s="41"/>
    </row>
    <row r="3015" spans="1:1" x14ac:dyDescent="0.6">
      <c r="A3015" s="41"/>
    </row>
    <row r="3016" spans="1:1" x14ac:dyDescent="0.6">
      <c r="A3016" s="41"/>
    </row>
    <row r="3017" spans="1:1" x14ac:dyDescent="0.6">
      <c r="A3017" s="41"/>
    </row>
    <row r="3018" spans="1:1" x14ac:dyDescent="0.6">
      <c r="A3018" s="41"/>
    </row>
    <row r="3019" spans="1:1" x14ac:dyDescent="0.6">
      <c r="A3019" s="41"/>
    </row>
    <row r="3020" spans="1:1" x14ac:dyDescent="0.6">
      <c r="A3020" s="41"/>
    </row>
    <row r="3021" spans="1:1" x14ac:dyDescent="0.6">
      <c r="A3021" s="41"/>
    </row>
    <row r="3022" spans="1:1" x14ac:dyDescent="0.6">
      <c r="A3022" s="41"/>
    </row>
    <row r="3023" spans="1:1" x14ac:dyDescent="0.6">
      <c r="A3023" s="41"/>
    </row>
    <row r="3024" spans="1:1" x14ac:dyDescent="0.6">
      <c r="A3024" s="41"/>
    </row>
    <row r="3025" spans="1:1" x14ac:dyDescent="0.6">
      <c r="A3025" s="41"/>
    </row>
    <row r="3026" spans="1:1" x14ac:dyDescent="0.6">
      <c r="A3026" s="41"/>
    </row>
    <row r="3027" spans="1:1" x14ac:dyDescent="0.6">
      <c r="A3027" s="41"/>
    </row>
    <row r="3028" spans="1:1" x14ac:dyDescent="0.6">
      <c r="A3028" s="41"/>
    </row>
    <row r="3029" spans="1:1" x14ac:dyDescent="0.6">
      <c r="A3029" s="41"/>
    </row>
    <row r="3030" spans="1:1" x14ac:dyDescent="0.6">
      <c r="A3030" s="41"/>
    </row>
    <row r="3031" spans="1:1" x14ac:dyDescent="0.6">
      <c r="A3031" s="41"/>
    </row>
    <row r="3032" spans="1:1" x14ac:dyDescent="0.6">
      <c r="A3032" s="41"/>
    </row>
    <row r="3033" spans="1:1" x14ac:dyDescent="0.6">
      <c r="A3033" s="41"/>
    </row>
    <row r="3034" spans="1:1" x14ac:dyDescent="0.6">
      <c r="A3034" s="41"/>
    </row>
    <row r="3035" spans="1:1" x14ac:dyDescent="0.6">
      <c r="A3035" s="41"/>
    </row>
    <row r="3036" spans="1:1" x14ac:dyDescent="0.6">
      <c r="A3036" s="41"/>
    </row>
    <row r="3037" spans="1:1" x14ac:dyDescent="0.6">
      <c r="A3037" s="41"/>
    </row>
    <row r="3038" spans="1:1" x14ac:dyDescent="0.6">
      <c r="A3038" s="41"/>
    </row>
    <row r="3039" spans="1:1" x14ac:dyDescent="0.6">
      <c r="A3039" s="41"/>
    </row>
    <row r="3040" spans="1:1" x14ac:dyDescent="0.6">
      <c r="A3040" s="41"/>
    </row>
    <row r="3041" spans="1:1" x14ac:dyDescent="0.6">
      <c r="A3041" s="41"/>
    </row>
    <row r="3042" spans="1:1" x14ac:dyDescent="0.6">
      <c r="A3042" s="41"/>
    </row>
    <row r="3043" spans="1:1" x14ac:dyDescent="0.6">
      <c r="A3043" s="41"/>
    </row>
    <row r="3044" spans="1:1" x14ac:dyDescent="0.6">
      <c r="A3044" s="41"/>
    </row>
    <row r="3045" spans="1:1" x14ac:dyDescent="0.6">
      <c r="A3045" s="41"/>
    </row>
    <row r="3046" spans="1:1" x14ac:dyDescent="0.6">
      <c r="A3046" s="41"/>
    </row>
    <row r="3047" spans="1:1" x14ac:dyDescent="0.6">
      <c r="A3047" s="41"/>
    </row>
    <row r="3048" spans="1:1" x14ac:dyDescent="0.6">
      <c r="A3048" s="41"/>
    </row>
    <row r="3049" spans="1:1" x14ac:dyDescent="0.6">
      <c r="A3049" s="41"/>
    </row>
    <row r="3050" spans="1:1" x14ac:dyDescent="0.6">
      <c r="A3050" s="41"/>
    </row>
    <row r="3051" spans="1:1" x14ac:dyDescent="0.6">
      <c r="A3051" s="41"/>
    </row>
    <row r="3052" spans="1:1" x14ac:dyDescent="0.6">
      <c r="A3052" s="41"/>
    </row>
    <row r="3053" spans="1:1" x14ac:dyDescent="0.6">
      <c r="A3053" s="41"/>
    </row>
    <row r="3054" spans="1:1" x14ac:dyDescent="0.6">
      <c r="A3054" s="41"/>
    </row>
    <row r="3055" spans="1:1" x14ac:dyDescent="0.6">
      <c r="A3055" s="41"/>
    </row>
    <row r="3056" spans="1:1" x14ac:dyDescent="0.6">
      <c r="A3056" s="41"/>
    </row>
    <row r="3057" spans="1:1" x14ac:dyDescent="0.6">
      <c r="A3057" s="41"/>
    </row>
    <row r="3058" spans="1:1" x14ac:dyDescent="0.6">
      <c r="A3058" s="41"/>
    </row>
    <row r="3059" spans="1:1" x14ac:dyDescent="0.6">
      <c r="A3059" s="41"/>
    </row>
    <row r="3060" spans="1:1" x14ac:dyDescent="0.6">
      <c r="A3060" s="41"/>
    </row>
    <row r="3061" spans="1:1" x14ac:dyDescent="0.6">
      <c r="A3061" s="41"/>
    </row>
    <row r="3062" spans="1:1" x14ac:dyDescent="0.6">
      <c r="A3062" s="41"/>
    </row>
    <row r="3063" spans="1:1" x14ac:dyDescent="0.6">
      <c r="A3063" s="41"/>
    </row>
    <row r="3064" spans="1:1" x14ac:dyDescent="0.6">
      <c r="A3064" s="41"/>
    </row>
    <row r="3065" spans="1:1" x14ac:dyDescent="0.6">
      <c r="A3065" s="41"/>
    </row>
    <row r="3066" spans="1:1" x14ac:dyDescent="0.6">
      <c r="A3066" s="41"/>
    </row>
    <row r="3067" spans="1:1" x14ac:dyDescent="0.6">
      <c r="A3067" s="41"/>
    </row>
    <row r="3068" spans="1:1" x14ac:dyDescent="0.6">
      <c r="A3068" s="41"/>
    </row>
    <row r="3069" spans="1:1" x14ac:dyDescent="0.6">
      <c r="A3069" s="41"/>
    </row>
    <row r="3070" spans="1:1" x14ac:dyDescent="0.6">
      <c r="A3070" s="41"/>
    </row>
    <row r="3071" spans="1:1" x14ac:dyDescent="0.6">
      <c r="A3071" s="41"/>
    </row>
    <row r="3072" spans="1:1" x14ac:dyDescent="0.6">
      <c r="A3072" s="41"/>
    </row>
    <row r="3073" spans="1:1" x14ac:dyDescent="0.6">
      <c r="A3073" s="41"/>
    </row>
    <row r="3074" spans="1:1" x14ac:dyDescent="0.6">
      <c r="A3074" s="41"/>
    </row>
    <row r="3075" spans="1:1" x14ac:dyDescent="0.6">
      <c r="A3075" s="41"/>
    </row>
    <row r="3076" spans="1:1" x14ac:dyDescent="0.6">
      <c r="A3076" s="41"/>
    </row>
    <row r="3077" spans="1:1" x14ac:dyDescent="0.6">
      <c r="A3077" s="41"/>
    </row>
    <row r="3078" spans="1:1" x14ac:dyDescent="0.6">
      <c r="A3078" s="41"/>
    </row>
    <row r="3079" spans="1:1" x14ac:dyDescent="0.6">
      <c r="A3079" s="41"/>
    </row>
    <row r="3080" spans="1:1" x14ac:dyDescent="0.6">
      <c r="A3080" s="41"/>
    </row>
    <row r="3081" spans="1:1" x14ac:dyDescent="0.6">
      <c r="A3081" s="41"/>
    </row>
    <row r="3082" spans="1:1" x14ac:dyDescent="0.6">
      <c r="A3082" s="41"/>
    </row>
    <row r="3083" spans="1:1" x14ac:dyDescent="0.6">
      <c r="A3083" s="41"/>
    </row>
    <row r="3084" spans="1:1" x14ac:dyDescent="0.6">
      <c r="A3084" s="41"/>
    </row>
    <row r="3085" spans="1:1" x14ac:dyDescent="0.6">
      <c r="A3085" s="41"/>
    </row>
    <row r="3086" spans="1:1" x14ac:dyDescent="0.6">
      <c r="A3086" s="41"/>
    </row>
    <row r="3087" spans="1:1" x14ac:dyDescent="0.6">
      <c r="A3087" s="41"/>
    </row>
    <row r="3088" spans="1:1" x14ac:dyDescent="0.6">
      <c r="A3088" s="41"/>
    </row>
    <row r="3089" spans="1:1" x14ac:dyDescent="0.6">
      <c r="A3089" s="41"/>
    </row>
    <row r="3090" spans="1:1" x14ac:dyDescent="0.6">
      <c r="A3090" s="41"/>
    </row>
    <row r="3091" spans="1:1" x14ac:dyDescent="0.6">
      <c r="A3091" s="41"/>
    </row>
    <row r="3092" spans="1:1" x14ac:dyDescent="0.6">
      <c r="A3092" s="41"/>
    </row>
    <row r="3093" spans="1:1" x14ac:dyDescent="0.6">
      <c r="A3093" s="41"/>
    </row>
    <row r="3094" spans="1:1" x14ac:dyDescent="0.6">
      <c r="A3094" s="41"/>
    </row>
    <row r="3095" spans="1:1" x14ac:dyDescent="0.6">
      <c r="A3095" s="41"/>
    </row>
    <row r="3096" spans="1:1" x14ac:dyDescent="0.6">
      <c r="A3096" s="41"/>
    </row>
    <row r="3097" spans="1:1" x14ac:dyDescent="0.6">
      <c r="A3097" s="41"/>
    </row>
    <row r="3098" spans="1:1" x14ac:dyDescent="0.6">
      <c r="A3098" s="41"/>
    </row>
    <row r="3099" spans="1:1" x14ac:dyDescent="0.6">
      <c r="A3099" s="41"/>
    </row>
    <row r="3100" spans="1:1" x14ac:dyDescent="0.6">
      <c r="A3100" s="41"/>
    </row>
    <row r="3101" spans="1:1" x14ac:dyDescent="0.6">
      <c r="A3101" s="41"/>
    </row>
    <row r="3102" spans="1:1" x14ac:dyDescent="0.6">
      <c r="A3102" s="41"/>
    </row>
    <row r="3103" spans="1:1" x14ac:dyDescent="0.6">
      <c r="A3103" s="41"/>
    </row>
    <row r="3104" spans="1:1" x14ac:dyDescent="0.6">
      <c r="A3104" s="41"/>
    </row>
    <row r="3105" spans="1:1" x14ac:dyDescent="0.6">
      <c r="A3105" s="41"/>
    </row>
    <row r="3106" spans="1:1" x14ac:dyDescent="0.6">
      <c r="A3106" s="41"/>
    </row>
    <row r="3107" spans="1:1" x14ac:dyDescent="0.6">
      <c r="A3107" s="41"/>
    </row>
    <row r="3108" spans="1:1" x14ac:dyDescent="0.6">
      <c r="A3108" s="41"/>
    </row>
    <row r="3109" spans="1:1" x14ac:dyDescent="0.6">
      <c r="A3109" s="41"/>
    </row>
    <row r="3110" spans="1:1" x14ac:dyDescent="0.6">
      <c r="A3110" s="41"/>
    </row>
    <row r="3111" spans="1:1" x14ac:dyDescent="0.6">
      <c r="A3111" s="41"/>
    </row>
    <row r="3112" spans="1:1" x14ac:dyDescent="0.6">
      <c r="A3112" s="41"/>
    </row>
    <row r="3113" spans="1:1" x14ac:dyDescent="0.6">
      <c r="A3113" s="41"/>
    </row>
    <row r="3114" spans="1:1" x14ac:dyDescent="0.6">
      <c r="A3114" s="41"/>
    </row>
    <row r="3115" spans="1:1" x14ac:dyDescent="0.6">
      <c r="A3115" s="41"/>
    </row>
    <row r="3116" spans="1:1" x14ac:dyDescent="0.6">
      <c r="A3116" s="41"/>
    </row>
    <row r="3117" spans="1:1" x14ac:dyDescent="0.6">
      <c r="A3117" s="41"/>
    </row>
    <row r="3118" spans="1:1" x14ac:dyDescent="0.6">
      <c r="A3118" s="41"/>
    </row>
    <row r="3119" spans="1:1" x14ac:dyDescent="0.6">
      <c r="A3119" s="41"/>
    </row>
    <row r="3120" spans="1:1" x14ac:dyDescent="0.6">
      <c r="A3120" s="41"/>
    </row>
    <row r="3121" spans="1:1" x14ac:dyDescent="0.6">
      <c r="A3121" s="41"/>
    </row>
    <row r="3122" spans="1:1" x14ac:dyDescent="0.6">
      <c r="A3122" s="41"/>
    </row>
    <row r="3123" spans="1:1" x14ac:dyDescent="0.6">
      <c r="A3123" s="41"/>
    </row>
    <row r="3124" spans="1:1" x14ac:dyDescent="0.6">
      <c r="A3124" s="41"/>
    </row>
    <row r="3125" spans="1:1" x14ac:dyDescent="0.6">
      <c r="A3125" s="41"/>
    </row>
    <row r="3126" spans="1:1" x14ac:dyDescent="0.6">
      <c r="A3126" s="41"/>
    </row>
    <row r="3127" spans="1:1" x14ac:dyDescent="0.6">
      <c r="A3127" s="41"/>
    </row>
    <row r="3128" spans="1:1" x14ac:dyDescent="0.6">
      <c r="A3128" s="41"/>
    </row>
    <row r="3129" spans="1:1" x14ac:dyDescent="0.6">
      <c r="A3129" s="41"/>
    </row>
    <row r="3130" spans="1:1" x14ac:dyDescent="0.6">
      <c r="A3130" s="41"/>
    </row>
    <row r="3131" spans="1:1" x14ac:dyDescent="0.6">
      <c r="A3131" s="41"/>
    </row>
    <row r="3132" spans="1:1" x14ac:dyDescent="0.6">
      <c r="A3132" s="41"/>
    </row>
    <row r="3133" spans="1:1" x14ac:dyDescent="0.6">
      <c r="A3133" s="41"/>
    </row>
    <row r="3134" spans="1:1" x14ac:dyDescent="0.6">
      <c r="A3134" s="41"/>
    </row>
    <row r="3135" spans="1:1" x14ac:dyDescent="0.6">
      <c r="A3135" s="41"/>
    </row>
    <row r="3136" spans="1:1" x14ac:dyDescent="0.6">
      <c r="A3136" s="41"/>
    </row>
    <row r="3137" spans="1:1" x14ac:dyDescent="0.6">
      <c r="A3137" s="41"/>
    </row>
    <row r="3138" spans="1:1" x14ac:dyDescent="0.6">
      <c r="A3138" s="41"/>
    </row>
    <row r="3139" spans="1:1" x14ac:dyDescent="0.6">
      <c r="A3139" s="41"/>
    </row>
    <row r="3140" spans="1:1" x14ac:dyDescent="0.6">
      <c r="A3140" s="41"/>
    </row>
    <row r="3141" spans="1:1" x14ac:dyDescent="0.6">
      <c r="A3141" s="41"/>
    </row>
    <row r="3142" spans="1:1" x14ac:dyDescent="0.6">
      <c r="A3142" s="41"/>
    </row>
    <row r="3143" spans="1:1" x14ac:dyDescent="0.6">
      <c r="A3143" s="41"/>
    </row>
    <row r="3144" spans="1:1" x14ac:dyDescent="0.6">
      <c r="A3144" s="41"/>
    </row>
    <row r="3145" spans="1:1" x14ac:dyDescent="0.6">
      <c r="A3145" s="41"/>
    </row>
    <row r="3146" spans="1:1" x14ac:dyDescent="0.6">
      <c r="A3146" s="41"/>
    </row>
    <row r="3147" spans="1:1" x14ac:dyDescent="0.6">
      <c r="A3147" s="41"/>
    </row>
    <row r="3148" spans="1:1" x14ac:dyDescent="0.6">
      <c r="A3148" s="41"/>
    </row>
    <row r="3149" spans="1:1" x14ac:dyDescent="0.6">
      <c r="A3149" s="41"/>
    </row>
    <row r="3150" spans="1:1" x14ac:dyDescent="0.6">
      <c r="A3150" s="41"/>
    </row>
    <row r="3151" spans="1:1" x14ac:dyDescent="0.6">
      <c r="A3151" s="41"/>
    </row>
    <row r="3152" spans="1:1" x14ac:dyDescent="0.6">
      <c r="A3152" s="41"/>
    </row>
    <row r="3153" spans="1:1" x14ac:dyDescent="0.6">
      <c r="A3153" s="41"/>
    </row>
    <row r="3154" spans="1:1" x14ac:dyDescent="0.6">
      <c r="A3154" s="41"/>
    </row>
    <row r="3155" spans="1:1" x14ac:dyDescent="0.6">
      <c r="A3155" s="41"/>
    </row>
    <row r="3156" spans="1:1" x14ac:dyDescent="0.6">
      <c r="A3156" s="41"/>
    </row>
    <row r="3157" spans="1:1" x14ac:dyDescent="0.6">
      <c r="A3157" s="41"/>
    </row>
    <row r="3158" spans="1:1" x14ac:dyDescent="0.6">
      <c r="A3158" s="41"/>
    </row>
    <row r="3159" spans="1:1" x14ac:dyDescent="0.6">
      <c r="A3159" s="41"/>
    </row>
    <row r="3160" spans="1:1" x14ac:dyDescent="0.6">
      <c r="A3160" s="41"/>
    </row>
    <row r="3161" spans="1:1" x14ac:dyDescent="0.6">
      <c r="A3161" s="41"/>
    </row>
    <row r="3162" spans="1:1" x14ac:dyDescent="0.6">
      <c r="A3162" s="41"/>
    </row>
    <row r="3163" spans="1:1" x14ac:dyDescent="0.6">
      <c r="A3163" s="41"/>
    </row>
    <row r="3164" spans="1:1" x14ac:dyDescent="0.6">
      <c r="A3164" s="41"/>
    </row>
    <row r="3165" spans="1:1" x14ac:dyDescent="0.6">
      <c r="A3165" s="41"/>
    </row>
    <row r="3166" spans="1:1" x14ac:dyDescent="0.6">
      <c r="A3166" s="41"/>
    </row>
    <row r="3167" spans="1:1" x14ac:dyDescent="0.6">
      <c r="A3167" s="41"/>
    </row>
    <row r="3168" spans="1:1" x14ac:dyDescent="0.6">
      <c r="A3168" s="41"/>
    </row>
    <row r="3169" spans="1:1" x14ac:dyDescent="0.6">
      <c r="A3169" s="41"/>
    </row>
    <row r="3170" spans="1:1" x14ac:dyDescent="0.6">
      <c r="A3170" s="41"/>
    </row>
    <row r="3171" spans="1:1" x14ac:dyDescent="0.6">
      <c r="A3171" s="41"/>
    </row>
    <row r="3172" spans="1:1" x14ac:dyDescent="0.6">
      <c r="A3172" s="41"/>
    </row>
    <row r="3173" spans="1:1" x14ac:dyDescent="0.6">
      <c r="A3173" s="41"/>
    </row>
    <row r="3174" spans="1:1" x14ac:dyDescent="0.6">
      <c r="A3174" s="41"/>
    </row>
    <row r="3175" spans="1:1" x14ac:dyDescent="0.6">
      <c r="A3175" s="41"/>
    </row>
    <row r="3176" spans="1:1" x14ac:dyDescent="0.6">
      <c r="A3176" s="41"/>
    </row>
    <row r="3177" spans="1:1" x14ac:dyDescent="0.6">
      <c r="A3177" s="41"/>
    </row>
    <row r="3178" spans="1:1" x14ac:dyDescent="0.6">
      <c r="A3178" s="41"/>
    </row>
    <row r="3179" spans="1:1" x14ac:dyDescent="0.6">
      <c r="A3179" s="41"/>
    </row>
    <row r="3180" spans="1:1" x14ac:dyDescent="0.6">
      <c r="A3180" s="41"/>
    </row>
    <row r="3181" spans="1:1" x14ac:dyDescent="0.6">
      <c r="A3181" s="41"/>
    </row>
    <row r="3182" spans="1:1" x14ac:dyDescent="0.6">
      <c r="A3182" s="41"/>
    </row>
    <row r="3183" spans="1:1" x14ac:dyDescent="0.6">
      <c r="A3183" s="41"/>
    </row>
    <row r="3184" spans="1:1" x14ac:dyDescent="0.6">
      <c r="A3184" s="41"/>
    </row>
    <row r="3185" spans="1:1" x14ac:dyDescent="0.6">
      <c r="A3185" s="41"/>
    </row>
    <row r="3186" spans="1:1" x14ac:dyDescent="0.6">
      <c r="A3186" s="41"/>
    </row>
    <row r="3187" spans="1:1" x14ac:dyDescent="0.6">
      <c r="A3187" s="41"/>
    </row>
    <row r="3188" spans="1:1" x14ac:dyDescent="0.6">
      <c r="A3188" s="41"/>
    </row>
    <row r="3189" spans="1:1" x14ac:dyDescent="0.6">
      <c r="A3189" s="41"/>
    </row>
    <row r="3190" spans="1:1" x14ac:dyDescent="0.6">
      <c r="A3190" s="41"/>
    </row>
    <row r="3191" spans="1:1" x14ac:dyDescent="0.6">
      <c r="A3191" s="41"/>
    </row>
    <row r="3192" spans="1:1" x14ac:dyDescent="0.6">
      <c r="A3192" s="41"/>
    </row>
    <row r="3193" spans="1:1" x14ac:dyDescent="0.6">
      <c r="A3193" s="41"/>
    </row>
    <row r="3194" spans="1:1" x14ac:dyDescent="0.6">
      <c r="A3194" s="41"/>
    </row>
    <row r="3195" spans="1:1" x14ac:dyDescent="0.6">
      <c r="A3195" s="41"/>
    </row>
    <row r="3196" spans="1:1" x14ac:dyDescent="0.6">
      <c r="A3196" s="41"/>
    </row>
    <row r="3197" spans="1:1" x14ac:dyDescent="0.6">
      <c r="A3197" s="41"/>
    </row>
    <row r="3198" spans="1:1" x14ac:dyDescent="0.6">
      <c r="A3198" s="41"/>
    </row>
    <row r="3199" spans="1:1" x14ac:dyDescent="0.6">
      <c r="A3199" s="41"/>
    </row>
    <row r="3200" spans="1:1" x14ac:dyDescent="0.6">
      <c r="A3200" s="41"/>
    </row>
    <row r="3201" spans="1:1" x14ac:dyDescent="0.6">
      <c r="A3201" s="41"/>
    </row>
    <row r="3202" spans="1:1" x14ac:dyDescent="0.6">
      <c r="A3202" s="41"/>
    </row>
    <row r="3203" spans="1:1" x14ac:dyDescent="0.6">
      <c r="A3203" s="41"/>
    </row>
    <row r="3204" spans="1:1" x14ac:dyDescent="0.6">
      <c r="A3204" s="41"/>
    </row>
    <row r="3205" spans="1:1" x14ac:dyDescent="0.6">
      <c r="A3205" s="41"/>
    </row>
    <row r="3206" spans="1:1" x14ac:dyDescent="0.6">
      <c r="A3206" s="41"/>
    </row>
    <row r="3207" spans="1:1" x14ac:dyDescent="0.6">
      <c r="A3207" s="41"/>
    </row>
    <row r="3208" spans="1:1" x14ac:dyDescent="0.6">
      <c r="A3208" s="41"/>
    </row>
    <row r="3209" spans="1:1" x14ac:dyDescent="0.6">
      <c r="A3209" s="41"/>
    </row>
    <row r="3210" spans="1:1" x14ac:dyDescent="0.6">
      <c r="A3210" s="41"/>
    </row>
    <row r="3211" spans="1:1" x14ac:dyDescent="0.6">
      <c r="A3211" s="41"/>
    </row>
    <row r="3212" spans="1:1" x14ac:dyDescent="0.6">
      <c r="A3212" s="41"/>
    </row>
    <row r="3213" spans="1:1" x14ac:dyDescent="0.6">
      <c r="A3213" s="41"/>
    </row>
    <row r="3214" spans="1:1" x14ac:dyDescent="0.6">
      <c r="A3214" s="41"/>
    </row>
    <row r="3215" spans="1:1" x14ac:dyDescent="0.6">
      <c r="A3215" s="41"/>
    </row>
    <row r="3216" spans="1:1" x14ac:dyDescent="0.6">
      <c r="A3216" s="41"/>
    </row>
    <row r="3217" spans="1:1" x14ac:dyDescent="0.6">
      <c r="A3217" s="41"/>
    </row>
    <row r="3218" spans="1:1" x14ac:dyDescent="0.6">
      <c r="A3218" s="41"/>
    </row>
    <row r="3219" spans="1:1" x14ac:dyDescent="0.6">
      <c r="A3219" s="41"/>
    </row>
    <row r="3220" spans="1:1" x14ac:dyDescent="0.6">
      <c r="A3220" s="41"/>
    </row>
    <row r="3221" spans="1:1" x14ac:dyDescent="0.6">
      <c r="A3221" s="41"/>
    </row>
    <row r="3222" spans="1:1" x14ac:dyDescent="0.6">
      <c r="A3222" s="41"/>
    </row>
    <row r="3223" spans="1:1" x14ac:dyDescent="0.6">
      <c r="A3223" s="41"/>
    </row>
    <row r="3224" spans="1:1" x14ac:dyDescent="0.6">
      <c r="A3224" s="41"/>
    </row>
    <row r="3225" spans="1:1" x14ac:dyDescent="0.6">
      <c r="A3225" s="41"/>
    </row>
    <row r="3226" spans="1:1" x14ac:dyDescent="0.6">
      <c r="A3226" s="41"/>
    </row>
    <row r="3227" spans="1:1" x14ac:dyDescent="0.6">
      <c r="A3227" s="41"/>
    </row>
    <row r="3228" spans="1:1" x14ac:dyDescent="0.6">
      <c r="A3228" s="41"/>
    </row>
    <row r="3229" spans="1:1" x14ac:dyDescent="0.6">
      <c r="A3229" s="41"/>
    </row>
    <row r="3230" spans="1:1" x14ac:dyDescent="0.6">
      <c r="A3230" s="41"/>
    </row>
    <row r="3231" spans="1:1" x14ac:dyDescent="0.6">
      <c r="A3231" s="41"/>
    </row>
    <row r="3232" spans="1:1" x14ac:dyDescent="0.6">
      <c r="A3232" s="41"/>
    </row>
    <row r="3233" spans="1:1" x14ac:dyDescent="0.6">
      <c r="A3233" s="41"/>
    </row>
    <row r="3234" spans="1:1" x14ac:dyDescent="0.6">
      <c r="A3234" s="41"/>
    </row>
    <row r="3235" spans="1:1" x14ac:dyDescent="0.6">
      <c r="A3235" s="41"/>
    </row>
    <row r="3236" spans="1:1" x14ac:dyDescent="0.6">
      <c r="A3236" s="41"/>
    </row>
    <row r="3237" spans="1:1" x14ac:dyDescent="0.6">
      <c r="A3237" s="41"/>
    </row>
    <row r="3238" spans="1:1" x14ac:dyDescent="0.6">
      <c r="A3238" s="41"/>
    </row>
    <row r="3239" spans="1:1" x14ac:dyDescent="0.6">
      <c r="A3239" s="41"/>
    </row>
    <row r="3240" spans="1:1" x14ac:dyDescent="0.6">
      <c r="A3240" s="41"/>
    </row>
    <row r="3241" spans="1:1" x14ac:dyDescent="0.6">
      <c r="A3241" s="41"/>
    </row>
    <row r="3242" spans="1:1" x14ac:dyDescent="0.6">
      <c r="A3242" s="41"/>
    </row>
    <row r="3243" spans="1:1" x14ac:dyDescent="0.6">
      <c r="A3243" s="41"/>
    </row>
    <row r="3244" spans="1:1" x14ac:dyDescent="0.6">
      <c r="A3244" s="41"/>
    </row>
    <row r="3245" spans="1:1" x14ac:dyDescent="0.6">
      <c r="A3245" s="41"/>
    </row>
    <row r="3246" spans="1:1" x14ac:dyDescent="0.6">
      <c r="A3246" s="41"/>
    </row>
    <row r="3247" spans="1:1" x14ac:dyDescent="0.6">
      <c r="A3247" s="41"/>
    </row>
    <row r="3248" spans="1:1" x14ac:dyDescent="0.6">
      <c r="A3248" s="41"/>
    </row>
    <row r="3249" spans="1:1" x14ac:dyDescent="0.6">
      <c r="A3249" s="41"/>
    </row>
    <row r="3250" spans="1:1" x14ac:dyDescent="0.6">
      <c r="A3250" s="41"/>
    </row>
    <row r="3251" spans="1:1" x14ac:dyDescent="0.6">
      <c r="A3251" s="41"/>
    </row>
    <row r="3252" spans="1:1" x14ac:dyDescent="0.6">
      <c r="A3252" s="41"/>
    </row>
    <row r="3253" spans="1:1" x14ac:dyDescent="0.6">
      <c r="A3253" s="41"/>
    </row>
    <row r="3254" spans="1:1" x14ac:dyDescent="0.6">
      <c r="A3254" s="41"/>
    </row>
    <row r="3255" spans="1:1" x14ac:dyDescent="0.6">
      <c r="A3255" s="41"/>
    </row>
    <row r="3256" spans="1:1" x14ac:dyDescent="0.6">
      <c r="A3256" s="41"/>
    </row>
    <row r="3257" spans="1:1" x14ac:dyDescent="0.6">
      <c r="A3257" s="41"/>
    </row>
    <row r="3258" spans="1:1" x14ac:dyDescent="0.6">
      <c r="A3258" s="41"/>
    </row>
    <row r="3259" spans="1:1" x14ac:dyDescent="0.6">
      <c r="A3259" s="41"/>
    </row>
    <row r="3260" spans="1:1" x14ac:dyDescent="0.6">
      <c r="A3260" s="41"/>
    </row>
    <row r="3261" spans="1:1" x14ac:dyDescent="0.6">
      <c r="A3261" s="41"/>
    </row>
    <row r="3262" spans="1:1" x14ac:dyDescent="0.6">
      <c r="A3262" s="41"/>
    </row>
    <row r="3263" spans="1:1" x14ac:dyDescent="0.6">
      <c r="A3263" s="41"/>
    </row>
    <row r="3264" spans="1:1" x14ac:dyDescent="0.6">
      <c r="A3264" s="41"/>
    </row>
    <row r="3265" spans="1:1" x14ac:dyDescent="0.6">
      <c r="A3265" s="41"/>
    </row>
    <row r="3266" spans="1:1" x14ac:dyDescent="0.6">
      <c r="A3266" s="41"/>
    </row>
    <row r="3267" spans="1:1" x14ac:dyDescent="0.6">
      <c r="A3267" s="41"/>
    </row>
    <row r="3268" spans="1:1" x14ac:dyDescent="0.6">
      <c r="A3268" s="41"/>
    </row>
    <row r="3269" spans="1:1" x14ac:dyDescent="0.6">
      <c r="A3269" s="41"/>
    </row>
    <row r="3270" spans="1:1" x14ac:dyDescent="0.6">
      <c r="A3270" s="41"/>
    </row>
    <row r="3271" spans="1:1" x14ac:dyDescent="0.6">
      <c r="A3271" s="41"/>
    </row>
    <row r="3272" spans="1:1" x14ac:dyDescent="0.6">
      <c r="A3272" s="41"/>
    </row>
    <row r="3273" spans="1:1" x14ac:dyDescent="0.6">
      <c r="A3273" s="41"/>
    </row>
    <row r="3274" spans="1:1" x14ac:dyDescent="0.6">
      <c r="A3274" s="41"/>
    </row>
    <row r="3275" spans="1:1" x14ac:dyDescent="0.6">
      <c r="A3275" s="41"/>
    </row>
    <row r="3276" spans="1:1" x14ac:dyDescent="0.6">
      <c r="A3276" s="41"/>
    </row>
    <row r="3277" spans="1:1" x14ac:dyDescent="0.6">
      <c r="A3277" s="41"/>
    </row>
    <row r="3278" spans="1:1" x14ac:dyDescent="0.6">
      <c r="A3278" s="41"/>
    </row>
    <row r="3279" spans="1:1" x14ac:dyDescent="0.6">
      <c r="A3279" s="41"/>
    </row>
    <row r="3280" spans="1:1" x14ac:dyDescent="0.6">
      <c r="A3280" s="41"/>
    </row>
    <row r="3281" spans="1:1" x14ac:dyDescent="0.6">
      <c r="A3281" s="41"/>
    </row>
    <row r="3282" spans="1:1" x14ac:dyDescent="0.6">
      <c r="A3282" s="41"/>
    </row>
    <row r="3283" spans="1:1" x14ac:dyDescent="0.6">
      <c r="A3283" s="41"/>
    </row>
    <row r="3284" spans="1:1" x14ac:dyDescent="0.6">
      <c r="A3284" s="41"/>
    </row>
    <row r="3285" spans="1:1" x14ac:dyDescent="0.6">
      <c r="A3285" s="41"/>
    </row>
    <row r="3286" spans="1:1" x14ac:dyDescent="0.6">
      <c r="A3286" s="41"/>
    </row>
    <row r="3287" spans="1:1" x14ac:dyDescent="0.6">
      <c r="A3287" s="41"/>
    </row>
    <row r="3288" spans="1:1" x14ac:dyDescent="0.6">
      <c r="A3288" s="41"/>
    </row>
    <row r="3289" spans="1:1" x14ac:dyDescent="0.6">
      <c r="A3289" s="41"/>
    </row>
    <row r="3290" spans="1:1" x14ac:dyDescent="0.6">
      <c r="A3290" s="41"/>
    </row>
    <row r="3291" spans="1:1" x14ac:dyDescent="0.6">
      <c r="A3291" s="41"/>
    </row>
    <row r="3292" spans="1:1" x14ac:dyDescent="0.6">
      <c r="A3292" s="41"/>
    </row>
    <row r="3293" spans="1:1" x14ac:dyDescent="0.6">
      <c r="A3293" s="41"/>
    </row>
    <row r="3294" spans="1:1" x14ac:dyDescent="0.6">
      <c r="A3294" s="41"/>
    </row>
    <row r="3295" spans="1:1" x14ac:dyDescent="0.6">
      <c r="A3295" s="41"/>
    </row>
    <row r="3296" spans="1:1" x14ac:dyDescent="0.6">
      <c r="A3296" s="41"/>
    </row>
    <row r="3297" spans="1:1" x14ac:dyDescent="0.6">
      <c r="A3297" s="41"/>
    </row>
    <row r="3298" spans="1:1" x14ac:dyDescent="0.6">
      <c r="A3298" s="41"/>
    </row>
    <row r="3299" spans="1:1" x14ac:dyDescent="0.6">
      <c r="A3299" s="41"/>
    </row>
    <row r="3300" spans="1:1" x14ac:dyDescent="0.6">
      <c r="A3300" s="41"/>
    </row>
    <row r="3301" spans="1:1" x14ac:dyDescent="0.6">
      <c r="A3301" s="41"/>
    </row>
    <row r="3302" spans="1:1" x14ac:dyDescent="0.6">
      <c r="A3302" s="41"/>
    </row>
    <row r="3303" spans="1:1" x14ac:dyDescent="0.6">
      <c r="A3303" s="41"/>
    </row>
    <row r="3304" spans="1:1" x14ac:dyDescent="0.6">
      <c r="A3304" s="41"/>
    </row>
    <row r="3305" spans="1:1" x14ac:dyDescent="0.6">
      <c r="A3305" s="41"/>
    </row>
    <row r="3306" spans="1:1" x14ac:dyDescent="0.6">
      <c r="A3306" s="41"/>
    </row>
    <row r="3307" spans="1:1" x14ac:dyDescent="0.6">
      <c r="A3307" s="41"/>
    </row>
    <row r="3308" spans="1:1" x14ac:dyDescent="0.6">
      <c r="A3308" s="41"/>
    </row>
    <row r="3309" spans="1:1" x14ac:dyDescent="0.6">
      <c r="A3309" s="41"/>
    </row>
    <row r="3310" spans="1:1" x14ac:dyDescent="0.6">
      <c r="A3310" s="41"/>
    </row>
    <row r="3311" spans="1:1" x14ac:dyDescent="0.6">
      <c r="A3311" s="41"/>
    </row>
    <row r="3312" spans="1:1" x14ac:dyDescent="0.6">
      <c r="A3312" s="41"/>
    </row>
    <row r="3313" spans="1:1" x14ac:dyDescent="0.6">
      <c r="A3313" s="41"/>
    </row>
    <row r="3314" spans="1:1" x14ac:dyDescent="0.6">
      <c r="A3314" s="41"/>
    </row>
    <row r="3315" spans="1:1" x14ac:dyDescent="0.6">
      <c r="A3315" s="41"/>
    </row>
    <row r="3316" spans="1:1" x14ac:dyDescent="0.6">
      <c r="A3316" s="41"/>
    </row>
    <row r="3317" spans="1:1" x14ac:dyDescent="0.6">
      <c r="A3317" s="41"/>
    </row>
    <row r="3318" spans="1:1" x14ac:dyDescent="0.6">
      <c r="A3318" s="41"/>
    </row>
    <row r="3319" spans="1:1" x14ac:dyDescent="0.6">
      <c r="A3319" s="41"/>
    </row>
    <row r="3320" spans="1:1" x14ac:dyDescent="0.6">
      <c r="A3320" s="41"/>
    </row>
    <row r="3321" spans="1:1" x14ac:dyDescent="0.6">
      <c r="A3321" s="41"/>
    </row>
    <row r="3322" spans="1:1" x14ac:dyDescent="0.6">
      <c r="A3322" s="41"/>
    </row>
    <row r="3323" spans="1:1" x14ac:dyDescent="0.6">
      <c r="A3323" s="41"/>
    </row>
    <row r="3324" spans="1:1" x14ac:dyDescent="0.6">
      <c r="A3324" s="41"/>
    </row>
    <row r="3325" spans="1:1" x14ac:dyDescent="0.6">
      <c r="A3325" s="41"/>
    </row>
    <row r="3326" spans="1:1" x14ac:dyDescent="0.6">
      <c r="A3326" s="41"/>
    </row>
    <row r="3327" spans="1:1" x14ac:dyDescent="0.6">
      <c r="A3327" s="41"/>
    </row>
    <row r="3328" spans="1:1" x14ac:dyDescent="0.6">
      <c r="A3328" s="41"/>
    </row>
    <row r="3329" spans="1:1" x14ac:dyDescent="0.6">
      <c r="A3329" s="41"/>
    </row>
    <row r="3330" spans="1:1" x14ac:dyDescent="0.6">
      <c r="A3330" s="41"/>
    </row>
    <row r="3331" spans="1:1" x14ac:dyDescent="0.6">
      <c r="A3331" s="41"/>
    </row>
    <row r="3332" spans="1:1" x14ac:dyDescent="0.6">
      <c r="A3332" s="41"/>
    </row>
    <row r="3333" spans="1:1" x14ac:dyDescent="0.6">
      <c r="A3333" s="41"/>
    </row>
    <row r="3334" spans="1:1" x14ac:dyDescent="0.6">
      <c r="A3334" s="41"/>
    </row>
    <row r="3335" spans="1:1" x14ac:dyDescent="0.6">
      <c r="A3335" s="41"/>
    </row>
    <row r="3336" spans="1:1" x14ac:dyDescent="0.6">
      <c r="A3336" s="41"/>
    </row>
    <row r="3337" spans="1:1" x14ac:dyDescent="0.6">
      <c r="A3337" s="41"/>
    </row>
    <row r="3338" spans="1:1" x14ac:dyDescent="0.6">
      <c r="A3338" s="41"/>
    </row>
    <row r="3339" spans="1:1" x14ac:dyDescent="0.6">
      <c r="A3339" s="41"/>
    </row>
    <row r="3340" spans="1:1" x14ac:dyDescent="0.6">
      <c r="A3340" s="41"/>
    </row>
    <row r="3341" spans="1:1" x14ac:dyDescent="0.6">
      <c r="A3341" s="41"/>
    </row>
    <row r="3342" spans="1:1" x14ac:dyDescent="0.6">
      <c r="A3342" s="41"/>
    </row>
    <row r="3343" spans="1:1" x14ac:dyDescent="0.6">
      <c r="A3343" s="41"/>
    </row>
    <row r="3344" spans="1:1" x14ac:dyDescent="0.6">
      <c r="A3344" s="41"/>
    </row>
    <row r="3345" spans="1:1" x14ac:dyDescent="0.6">
      <c r="A3345" s="41"/>
    </row>
    <row r="3346" spans="1:1" x14ac:dyDescent="0.6">
      <c r="A3346" s="41"/>
    </row>
    <row r="3347" spans="1:1" x14ac:dyDescent="0.6">
      <c r="A3347" s="41"/>
    </row>
    <row r="3348" spans="1:1" x14ac:dyDescent="0.6">
      <c r="A3348" s="41"/>
    </row>
    <row r="3349" spans="1:1" x14ac:dyDescent="0.6">
      <c r="A3349" s="41"/>
    </row>
    <row r="3350" spans="1:1" x14ac:dyDescent="0.6">
      <c r="A3350" s="41"/>
    </row>
    <row r="3351" spans="1:1" x14ac:dyDescent="0.6">
      <c r="A3351" s="41"/>
    </row>
    <row r="3352" spans="1:1" x14ac:dyDescent="0.6">
      <c r="A3352" s="41"/>
    </row>
    <row r="3353" spans="1:1" x14ac:dyDescent="0.6">
      <c r="A3353" s="41"/>
    </row>
    <row r="3354" spans="1:1" x14ac:dyDescent="0.6">
      <c r="A3354" s="41"/>
    </row>
    <row r="3355" spans="1:1" x14ac:dyDescent="0.6">
      <c r="A3355" s="41"/>
    </row>
    <row r="3356" spans="1:1" x14ac:dyDescent="0.6">
      <c r="A3356" s="41"/>
    </row>
    <row r="3357" spans="1:1" x14ac:dyDescent="0.6">
      <c r="A3357" s="41"/>
    </row>
    <row r="3358" spans="1:1" x14ac:dyDescent="0.6">
      <c r="A3358" s="41"/>
    </row>
    <row r="3359" spans="1:1" x14ac:dyDescent="0.6">
      <c r="A3359" s="41"/>
    </row>
    <row r="3360" spans="1:1" x14ac:dyDescent="0.6">
      <c r="A3360" s="41"/>
    </row>
    <row r="3361" spans="1:1" x14ac:dyDescent="0.6">
      <c r="A3361" s="41"/>
    </row>
    <row r="3362" spans="1:1" x14ac:dyDescent="0.6">
      <c r="A3362" s="41"/>
    </row>
    <row r="3363" spans="1:1" x14ac:dyDescent="0.6">
      <c r="A3363" s="41"/>
    </row>
    <row r="3364" spans="1:1" x14ac:dyDescent="0.6">
      <c r="A3364" s="41"/>
    </row>
    <row r="3365" spans="1:1" x14ac:dyDescent="0.6">
      <c r="A3365" s="41"/>
    </row>
    <row r="3366" spans="1:1" x14ac:dyDescent="0.6">
      <c r="A3366" s="41"/>
    </row>
    <row r="3367" spans="1:1" x14ac:dyDescent="0.6">
      <c r="A3367" s="41"/>
    </row>
    <row r="3368" spans="1:1" x14ac:dyDescent="0.6">
      <c r="A3368" s="41"/>
    </row>
    <row r="3369" spans="1:1" x14ac:dyDescent="0.6">
      <c r="A3369" s="41"/>
    </row>
    <row r="3370" spans="1:1" x14ac:dyDescent="0.6">
      <c r="A3370" s="41"/>
    </row>
    <row r="3371" spans="1:1" x14ac:dyDescent="0.6">
      <c r="A3371" s="41"/>
    </row>
    <row r="3372" spans="1:1" x14ac:dyDescent="0.6">
      <c r="A3372" s="41"/>
    </row>
    <row r="3373" spans="1:1" x14ac:dyDescent="0.6">
      <c r="A3373" s="41"/>
    </row>
    <row r="3374" spans="1:1" x14ac:dyDescent="0.6">
      <c r="A3374" s="41"/>
    </row>
    <row r="3375" spans="1:1" x14ac:dyDescent="0.6">
      <c r="A3375" s="41"/>
    </row>
    <row r="3376" spans="1:1" x14ac:dyDescent="0.6">
      <c r="A3376" s="41"/>
    </row>
    <row r="3377" spans="1:1" x14ac:dyDescent="0.6">
      <c r="A3377" s="41"/>
    </row>
    <row r="3378" spans="1:1" x14ac:dyDescent="0.6">
      <c r="A3378" s="41"/>
    </row>
    <row r="3379" spans="1:1" x14ac:dyDescent="0.6">
      <c r="A3379" s="41"/>
    </row>
    <row r="3380" spans="1:1" x14ac:dyDescent="0.6">
      <c r="A3380" s="41"/>
    </row>
    <row r="3381" spans="1:1" x14ac:dyDescent="0.6">
      <c r="A3381" s="41"/>
    </row>
    <row r="3382" spans="1:1" x14ac:dyDescent="0.6">
      <c r="A3382" s="41"/>
    </row>
    <row r="3383" spans="1:1" x14ac:dyDescent="0.6">
      <c r="A3383" s="41"/>
    </row>
    <row r="3384" spans="1:1" x14ac:dyDescent="0.6">
      <c r="A3384" s="41"/>
    </row>
    <row r="3385" spans="1:1" x14ac:dyDescent="0.6">
      <c r="A3385" s="41"/>
    </row>
    <row r="3386" spans="1:1" x14ac:dyDescent="0.6">
      <c r="A3386" s="41"/>
    </row>
    <row r="3387" spans="1:1" x14ac:dyDescent="0.6">
      <c r="A3387" s="41"/>
    </row>
    <row r="3388" spans="1:1" x14ac:dyDescent="0.6">
      <c r="A3388" s="41"/>
    </row>
    <row r="3389" spans="1:1" x14ac:dyDescent="0.6">
      <c r="A3389" s="41"/>
    </row>
    <row r="3390" spans="1:1" x14ac:dyDescent="0.6">
      <c r="A3390" s="41"/>
    </row>
    <row r="3391" spans="1:1" x14ac:dyDescent="0.6">
      <c r="A3391" s="41"/>
    </row>
    <row r="3392" spans="1:1" x14ac:dyDescent="0.6">
      <c r="A3392" s="41"/>
    </row>
    <row r="3393" spans="1:1" x14ac:dyDescent="0.6">
      <c r="A3393" s="41"/>
    </row>
    <row r="3394" spans="1:1" x14ac:dyDescent="0.6">
      <c r="A3394" s="41"/>
    </row>
    <row r="3395" spans="1:1" x14ac:dyDescent="0.6">
      <c r="A3395" s="41"/>
    </row>
    <row r="3396" spans="1:1" x14ac:dyDescent="0.6">
      <c r="A3396" s="41"/>
    </row>
    <row r="3397" spans="1:1" x14ac:dyDescent="0.6">
      <c r="A3397" s="41"/>
    </row>
    <row r="3398" spans="1:1" x14ac:dyDescent="0.6">
      <c r="A3398" s="41"/>
    </row>
    <row r="3399" spans="1:1" x14ac:dyDescent="0.6">
      <c r="A3399" s="41"/>
    </row>
    <row r="3400" spans="1:1" x14ac:dyDescent="0.6">
      <c r="A3400" s="41"/>
    </row>
    <row r="3401" spans="1:1" x14ac:dyDescent="0.6">
      <c r="A3401" s="41"/>
    </row>
    <row r="3402" spans="1:1" x14ac:dyDescent="0.6">
      <c r="A3402" s="41"/>
    </row>
    <row r="3403" spans="1:1" x14ac:dyDescent="0.6">
      <c r="A3403" s="41"/>
    </row>
    <row r="3404" spans="1:1" x14ac:dyDescent="0.6">
      <c r="A3404" s="41"/>
    </row>
    <row r="3405" spans="1:1" x14ac:dyDescent="0.6">
      <c r="A3405" s="41"/>
    </row>
    <row r="3406" spans="1:1" x14ac:dyDescent="0.6">
      <c r="A3406" s="41"/>
    </row>
    <row r="3407" spans="1:1" x14ac:dyDescent="0.6">
      <c r="A3407" s="41"/>
    </row>
    <row r="3408" spans="1:1" x14ac:dyDescent="0.6">
      <c r="A3408" s="41"/>
    </row>
    <row r="3409" spans="1:1" x14ac:dyDescent="0.6">
      <c r="A3409" s="41"/>
    </row>
    <row r="3410" spans="1:1" x14ac:dyDescent="0.6">
      <c r="A3410" s="41"/>
    </row>
    <row r="3411" spans="1:1" x14ac:dyDescent="0.6">
      <c r="A3411" s="41"/>
    </row>
    <row r="3412" spans="1:1" x14ac:dyDescent="0.6">
      <c r="A3412" s="41"/>
    </row>
    <row r="3413" spans="1:1" x14ac:dyDescent="0.6">
      <c r="A3413" s="41"/>
    </row>
    <row r="3414" spans="1:1" x14ac:dyDescent="0.6">
      <c r="A3414" s="41"/>
    </row>
    <row r="3415" spans="1:1" x14ac:dyDescent="0.6">
      <c r="A3415" s="41"/>
    </row>
    <row r="3416" spans="1:1" x14ac:dyDescent="0.6">
      <c r="A3416" s="41"/>
    </row>
    <row r="3417" spans="1:1" x14ac:dyDescent="0.6">
      <c r="A3417" s="41"/>
    </row>
    <row r="3418" spans="1:1" x14ac:dyDescent="0.6">
      <c r="A3418" s="41"/>
    </row>
    <row r="3419" spans="1:1" x14ac:dyDescent="0.6">
      <c r="A3419" s="41"/>
    </row>
    <row r="3420" spans="1:1" x14ac:dyDescent="0.6">
      <c r="A3420" s="41"/>
    </row>
    <row r="3421" spans="1:1" x14ac:dyDescent="0.6">
      <c r="A3421" s="41"/>
    </row>
    <row r="3422" spans="1:1" x14ac:dyDescent="0.6">
      <c r="A3422" s="41"/>
    </row>
    <row r="3423" spans="1:1" x14ac:dyDescent="0.6">
      <c r="A3423" s="41"/>
    </row>
    <row r="3424" spans="1:1" x14ac:dyDescent="0.6">
      <c r="A3424" s="41"/>
    </row>
    <row r="3425" spans="1:1" x14ac:dyDescent="0.6">
      <c r="A3425" s="41"/>
    </row>
    <row r="3426" spans="1:1" x14ac:dyDescent="0.6">
      <c r="A3426" s="41"/>
    </row>
    <row r="3427" spans="1:1" x14ac:dyDescent="0.6">
      <c r="A3427" s="41"/>
    </row>
    <row r="3428" spans="1:1" x14ac:dyDescent="0.6">
      <c r="A3428" s="41"/>
    </row>
    <row r="3429" spans="1:1" x14ac:dyDescent="0.6">
      <c r="A3429" s="41"/>
    </row>
    <row r="3430" spans="1:1" x14ac:dyDescent="0.6">
      <c r="A3430" s="41"/>
    </row>
    <row r="3431" spans="1:1" x14ac:dyDescent="0.6">
      <c r="A3431" s="41"/>
    </row>
    <row r="3432" spans="1:1" x14ac:dyDescent="0.6">
      <c r="A3432" s="41"/>
    </row>
    <row r="3433" spans="1:1" x14ac:dyDescent="0.6">
      <c r="A3433" s="41"/>
    </row>
    <row r="3434" spans="1:1" x14ac:dyDescent="0.6">
      <c r="A3434" s="41"/>
    </row>
    <row r="3435" spans="1:1" x14ac:dyDescent="0.6">
      <c r="A3435" s="41"/>
    </row>
    <row r="3436" spans="1:1" x14ac:dyDescent="0.6">
      <c r="A3436" s="41"/>
    </row>
    <row r="3437" spans="1:1" x14ac:dyDescent="0.6">
      <c r="A3437" s="41"/>
    </row>
    <row r="3438" spans="1:1" x14ac:dyDescent="0.6">
      <c r="A3438" s="41"/>
    </row>
    <row r="3439" spans="1:1" x14ac:dyDescent="0.6">
      <c r="A3439" s="41"/>
    </row>
    <row r="3440" spans="1:1" x14ac:dyDescent="0.6">
      <c r="A3440" s="41"/>
    </row>
    <row r="3441" spans="1:1" x14ac:dyDescent="0.6">
      <c r="A3441" s="41"/>
    </row>
    <row r="3442" spans="1:1" x14ac:dyDescent="0.6">
      <c r="A3442" s="41"/>
    </row>
    <row r="3443" spans="1:1" x14ac:dyDescent="0.6">
      <c r="A3443" s="41"/>
    </row>
    <row r="3444" spans="1:1" x14ac:dyDescent="0.6">
      <c r="A3444" s="41"/>
    </row>
    <row r="3445" spans="1:1" x14ac:dyDescent="0.6">
      <c r="A3445" s="41"/>
    </row>
    <row r="3446" spans="1:1" x14ac:dyDescent="0.6">
      <c r="A3446" s="41"/>
    </row>
    <row r="3447" spans="1:1" x14ac:dyDescent="0.6">
      <c r="A3447" s="41"/>
    </row>
    <row r="3448" spans="1:1" x14ac:dyDescent="0.6">
      <c r="A3448" s="41"/>
    </row>
    <row r="3449" spans="1:1" x14ac:dyDescent="0.6">
      <c r="A3449" s="41"/>
    </row>
    <row r="3450" spans="1:1" x14ac:dyDescent="0.6">
      <c r="A3450" s="41"/>
    </row>
    <row r="3451" spans="1:1" x14ac:dyDescent="0.6">
      <c r="A3451" s="41"/>
    </row>
    <row r="3452" spans="1:1" x14ac:dyDescent="0.6">
      <c r="A3452" s="41"/>
    </row>
    <row r="3453" spans="1:1" x14ac:dyDescent="0.6">
      <c r="A3453" s="41"/>
    </row>
    <row r="3454" spans="1:1" x14ac:dyDescent="0.6">
      <c r="A3454" s="41"/>
    </row>
    <row r="3455" spans="1:1" x14ac:dyDescent="0.6">
      <c r="A3455" s="41"/>
    </row>
    <row r="3456" spans="1:1" x14ac:dyDescent="0.6">
      <c r="A3456" s="41"/>
    </row>
    <row r="3457" spans="1:1" x14ac:dyDescent="0.6">
      <c r="A3457" s="41"/>
    </row>
    <row r="3458" spans="1:1" x14ac:dyDescent="0.6">
      <c r="A3458" s="41"/>
    </row>
    <row r="3459" spans="1:1" x14ac:dyDescent="0.6">
      <c r="A3459" s="41"/>
    </row>
    <row r="3460" spans="1:1" x14ac:dyDescent="0.6">
      <c r="A3460" s="41"/>
    </row>
    <row r="3461" spans="1:1" x14ac:dyDescent="0.6">
      <c r="A3461" s="41"/>
    </row>
    <row r="3462" spans="1:1" x14ac:dyDescent="0.6">
      <c r="A3462" s="41"/>
    </row>
    <row r="3463" spans="1:1" x14ac:dyDescent="0.6">
      <c r="A3463" s="41"/>
    </row>
    <row r="3464" spans="1:1" x14ac:dyDescent="0.6">
      <c r="A3464" s="41"/>
    </row>
    <row r="3465" spans="1:1" x14ac:dyDescent="0.6">
      <c r="A3465" s="41"/>
    </row>
    <row r="3466" spans="1:1" x14ac:dyDescent="0.6">
      <c r="A3466" s="41"/>
    </row>
    <row r="3467" spans="1:1" x14ac:dyDescent="0.6">
      <c r="A3467" s="41"/>
    </row>
    <row r="3468" spans="1:1" x14ac:dyDescent="0.6">
      <c r="A3468" s="41"/>
    </row>
    <row r="3469" spans="1:1" x14ac:dyDescent="0.6">
      <c r="A3469" s="41"/>
    </row>
    <row r="3470" spans="1:1" x14ac:dyDescent="0.6">
      <c r="A3470" s="41"/>
    </row>
    <row r="3471" spans="1:1" x14ac:dyDescent="0.6">
      <c r="A3471" s="41"/>
    </row>
    <row r="3472" spans="1:1" x14ac:dyDescent="0.6">
      <c r="A3472" s="41"/>
    </row>
    <row r="3473" spans="1:1" x14ac:dyDescent="0.6">
      <c r="A3473" s="41"/>
    </row>
    <row r="3474" spans="1:1" x14ac:dyDescent="0.6">
      <c r="A3474" s="41"/>
    </row>
    <row r="3475" spans="1:1" x14ac:dyDescent="0.6">
      <c r="A3475" s="41"/>
    </row>
    <row r="3476" spans="1:1" x14ac:dyDescent="0.6">
      <c r="A3476" s="41"/>
    </row>
    <row r="3477" spans="1:1" x14ac:dyDescent="0.6">
      <c r="A3477" s="41"/>
    </row>
    <row r="3478" spans="1:1" x14ac:dyDescent="0.6">
      <c r="A3478" s="41"/>
    </row>
    <row r="3479" spans="1:1" x14ac:dyDescent="0.6">
      <c r="A3479" s="41"/>
    </row>
    <row r="3480" spans="1:1" x14ac:dyDescent="0.6">
      <c r="A3480" s="41"/>
    </row>
    <row r="3481" spans="1:1" x14ac:dyDescent="0.6">
      <c r="A3481" s="41"/>
    </row>
    <row r="3482" spans="1:1" x14ac:dyDescent="0.6">
      <c r="A3482" s="41"/>
    </row>
    <row r="3483" spans="1:1" x14ac:dyDescent="0.6">
      <c r="A3483" s="41"/>
    </row>
    <row r="3484" spans="1:1" x14ac:dyDescent="0.6">
      <c r="A3484" s="41"/>
    </row>
    <row r="3485" spans="1:1" x14ac:dyDescent="0.6">
      <c r="A3485" s="41"/>
    </row>
    <row r="3486" spans="1:1" x14ac:dyDescent="0.6">
      <c r="A3486" s="41"/>
    </row>
    <row r="3487" spans="1:1" x14ac:dyDescent="0.6">
      <c r="A3487" s="41"/>
    </row>
    <row r="3488" spans="1:1" x14ac:dyDescent="0.6">
      <c r="A3488" s="41"/>
    </row>
    <row r="3489" spans="1:1" x14ac:dyDescent="0.6">
      <c r="A3489" s="41"/>
    </row>
    <row r="3490" spans="1:1" x14ac:dyDescent="0.6">
      <c r="A3490" s="41"/>
    </row>
    <row r="3491" spans="1:1" x14ac:dyDescent="0.6">
      <c r="A3491" s="41"/>
    </row>
    <row r="3492" spans="1:1" x14ac:dyDescent="0.6">
      <c r="A3492" s="41"/>
    </row>
    <row r="3493" spans="1:1" x14ac:dyDescent="0.6">
      <c r="A3493" s="41"/>
    </row>
    <row r="3494" spans="1:1" x14ac:dyDescent="0.6">
      <c r="A3494" s="41"/>
    </row>
    <row r="3495" spans="1:1" x14ac:dyDescent="0.6">
      <c r="A3495" s="41"/>
    </row>
    <row r="3496" spans="1:1" x14ac:dyDescent="0.6">
      <c r="A3496" s="41"/>
    </row>
    <row r="3497" spans="1:1" x14ac:dyDescent="0.6">
      <c r="A3497" s="41"/>
    </row>
    <row r="3498" spans="1:1" x14ac:dyDescent="0.6">
      <c r="A3498" s="41"/>
    </row>
    <row r="3499" spans="1:1" x14ac:dyDescent="0.6">
      <c r="A3499" s="41"/>
    </row>
    <row r="3500" spans="1:1" x14ac:dyDescent="0.6">
      <c r="A3500" s="41"/>
    </row>
    <row r="3501" spans="1:1" x14ac:dyDescent="0.6">
      <c r="A3501" s="41"/>
    </row>
    <row r="3502" spans="1:1" x14ac:dyDescent="0.6">
      <c r="A3502" s="41"/>
    </row>
    <row r="3503" spans="1:1" x14ac:dyDescent="0.6">
      <c r="A3503" s="41"/>
    </row>
    <row r="3504" spans="1:1" x14ac:dyDescent="0.6">
      <c r="A3504" s="41"/>
    </row>
    <row r="3505" spans="1:1" x14ac:dyDescent="0.6">
      <c r="A3505" s="41"/>
    </row>
    <row r="3506" spans="1:1" x14ac:dyDescent="0.6">
      <c r="A3506" s="41"/>
    </row>
    <row r="3507" spans="1:1" x14ac:dyDescent="0.6">
      <c r="A3507" s="41"/>
    </row>
    <row r="3508" spans="1:1" x14ac:dyDescent="0.6">
      <c r="A3508" s="41"/>
    </row>
    <row r="3509" spans="1:1" x14ac:dyDescent="0.6">
      <c r="A3509" s="41"/>
    </row>
    <row r="3510" spans="1:1" x14ac:dyDescent="0.6">
      <c r="A3510" s="41"/>
    </row>
    <row r="3511" spans="1:1" x14ac:dyDescent="0.6">
      <c r="A3511" s="41"/>
    </row>
    <row r="3512" spans="1:1" x14ac:dyDescent="0.6">
      <c r="A3512" s="41"/>
    </row>
    <row r="3513" spans="1:1" x14ac:dyDescent="0.6">
      <c r="A3513" s="41"/>
    </row>
    <row r="3514" spans="1:1" x14ac:dyDescent="0.6">
      <c r="A3514" s="41"/>
    </row>
    <row r="3515" spans="1:1" x14ac:dyDescent="0.6">
      <c r="A3515" s="41"/>
    </row>
    <row r="3516" spans="1:1" x14ac:dyDescent="0.6">
      <c r="A3516" s="41"/>
    </row>
    <row r="3517" spans="1:1" x14ac:dyDescent="0.6">
      <c r="A3517" s="41"/>
    </row>
    <row r="3518" spans="1:1" x14ac:dyDescent="0.6">
      <c r="A3518" s="41"/>
    </row>
    <row r="3519" spans="1:1" x14ac:dyDescent="0.6">
      <c r="A3519" s="41"/>
    </row>
    <row r="3520" spans="1:1" x14ac:dyDescent="0.6">
      <c r="A3520" s="41"/>
    </row>
    <row r="3521" spans="1:1" x14ac:dyDescent="0.6">
      <c r="A3521" s="41"/>
    </row>
    <row r="3522" spans="1:1" x14ac:dyDescent="0.6">
      <c r="A3522" s="41"/>
    </row>
    <row r="3523" spans="1:1" x14ac:dyDescent="0.6">
      <c r="A3523" s="41"/>
    </row>
    <row r="3524" spans="1:1" x14ac:dyDescent="0.6">
      <c r="A3524" s="41"/>
    </row>
    <row r="3525" spans="1:1" x14ac:dyDescent="0.6">
      <c r="A3525" s="41"/>
    </row>
    <row r="3526" spans="1:1" x14ac:dyDescent="0.6">
      <c r="A3526" s="41"/>
    </row>
    <row r="3527" spans="1:1" x14ac:dyDescent="0.6">
      <c r="A3527" s="41"/>
    </row>
    <row r="3528" spans="1:1" x14ac:dyDescent="0.6">
      <c r="A3528" s="41"/>
    </row>
    <row r="3529" spans="1:1" x14ac:dyDescent="0.6">
      <c r="A3529" s="41"/>
    </row>
    <row r="3530" spans="1:1" x14ac:dyDescent="0.6">
      <c r="A3530" s="41"/>
    </row>
    <row r="3531" spans="1:1" x14ac:dyDescent="0.6">
      <c r="A3531" s="41"/>
    </row>
    <row r="3532" spans="1:1" x14ac:dyDescent="0.6">
      <c r="A3532" s="41"/>
    </row>
    <row r="3533" spans="1:1" x14ac:dyDescent="0.6">
      <c r="A3533" s="41"/>
    </row>
    <row r="3534" spans="1:1" x14ac:dyDescent="0.6">
      <c r="A3534" s="41"/>
    </row>
    <row r="3535" spans="1:1" x14ac:dyDescent="0.6">
      <c r="A3535" s="41"/>
    </row>
    <row r="3536" spans="1:1" x14ac:dyDescent="0.6">
      <c r="A3536" s="41"/>
    </row>
    <row r="3537" spans="1:1" x14ac:dyDescent="0.6">
      <c r="A3537" s="41"/>
    </row>
    <row r="3538" spans="1:1" x14ac:dyDescent="0.6">
      <c r="A3538" s="41"/>
    </row>
    <row r="3539" spans="1:1" x14ac:dyDescent="0.6">
      <c r="A3539" s="41"/>
    </row>
    <row r="3540" spans="1:1" x14ac:dyDescent="0.6">
      <c r="A3540" s="41"/>
    </row>
    <row r="3541" spans="1:1" x14ac:dyDescent="0.6">
      <c r="A3541" s="41"/>
    </row>
    <row r="3542" spans="1:1" x14ac:dyDescent="0.6">
      <c r="A3542" s="41"/>
    </row>
    <row r="3543" spans="1:1" x14ac:dyDescent="0.6">
      <c r="A3543" s="41"/>
    </row>
    <row r="3544" spans="1:1" x14ac:dyDescent="0.6">
      <c r="A3544" s="41"/>
    </row>
    <row r="3545" spans="1:1" x14ac:dyDescent="0.6">
      <c r="A3545" s="41"/>
    </row>
    <row r="3546" spans="1:1" x14ac:dyDescent="0.6">
      <c r="A3546" s="41"/>
    </row>
    <row r="3547" spans="1:1" x14ac:dyDescent="0.6">
      <c r="A3547" s="41"/>
    </row>
    <row r="3548" spans="1:1" x14ac:dyDescent="0.6">
      <c r="A3548" s="41"/>
    </row>
    <row r="3549" spans="1:1" x14ac:dyDescent="0.6">
      <c r="A3549" s="41"/>
    </row>
    <row r="3550" spans="1:1" x14ac:dyDescent="0.6">
      <c r="A3550" s="41"/>
    </row>
    <row r="3551" spans="1:1" x14ac:dyDescent="0.6">
      <c r="A3551" s="41"/>
    </row>
    <row r="3552" spans="1:1" x14ac:dyDescent="0.6">
      <c r="A3552" s="41"/>
    </row>
    <row r="3553" spans="1:1" x14ac:dyDescent="0.6">
      <c r="A3553" s="41"/>
    </row>
    <row r="3554" spans="1:1" x14ac:dyDescent="0.6">
      <c r="A3554" s="41"/>
    </row>
    <row r="3555" spans="1:1" x14ac:dyDescent="0.6">
      <c r="A3555" s="41"/>
    </row>
    <row r="3556" spans="1:1" x14ac:dyDescent="0.6">
      <c r="A3556" s="41"/>
    </row>
    <row r="3557" spans="1:1" x14ac:dyDescent="0.6">
      <c r="A3557" s="41"/>
    </row>
    <row r="3558" spans="1:1" x14ac:dyDescent="0.6">
      <c r="A3558" s="41"/>
    </row>
    <row r="3559" spans="1:1" x14ac:dyDescent="0.6">
      <c r="A3559" s="41"/>
    </row>
    <row r="3560" spans="1:1" x14ac:dyDescent="0.6">
      <c r="A3560" s="41"/>
    </row>
    <row r="3561" spans="1:1" x14ac:dyDescent="0.6">
      <c r="A3561" s="41"/>
    </row>
    <row r="3562" spans="1:1" x14ac:dyDescent="0.6">
      <c r="A3562" s="41"/>
    </row>
    <row r="3563" spans="1:1" x14ac:dyDescent="0.6">
      <c r="A3563" s="41"/>
    </row>
    <row r="3564" spans="1:1" x14ac:dyDescent="0.6">
      <c r="A3564" s="41"/>
    </row>
    <row r="3565" spans="1:1" x14ac:dyDescent="0.6">
      <c r="A3565" s="41"/>
    </row>
    <row r="3566" spans="1:1" x14ac:dyDescent="0.6">
      <c r="A3566" s="41"/>
    </row>
    <row r="3567" spans="1:1" x14ac:dyDescent="0.6">
      <c r="A3567" s="41"/>
    </row>
    <row r="3568" spans="1:1" x14ac:dyDescent="0.6">
      <c r="A3568" s="41"/>
    </row>
    <row r="3569" spans="1:1" x14ac:dyDescent="0.6">
      <c r="A3569" s="41"/>
    </row>
    <row r="3570" spans="1:1" x14ac:dyDescent="0.6">
      <c r="A3570" s="41"/>
    </row>
    <row r="3571" spans="1:1" x14ac:dyDescent="0.6">
      <c r="A3571" s="41"/>
    </row>
    <row r="3572" spans="1:1" x14ac:dyDescent="0.6">
      <c r="A3572" s="41"/>
    </row>
    <row r="3573" spans="1:1" x14ac:dyDescent="0.6">
      <c r="A3573" s="41"/>
    </row>
    <row r="3574" spans="1:1" x14ac:dyDescent="0.6">
      <c r="A3574" s="41"/>
    </row>
    <row r="3575" spans="1:1" x14ac:dyDescent="0.6">
      <c r="A3575" s="41"/>
    </row>
    <row r="3576" spans="1:1" x14ac:dyDescent="0.6">
      <c r="A3576" s="41"/>
    </row>
    <row r="3577" spans="1:1" x14ac:dyDescent="0.6">
      <c r="A3577" s="41"/>
    </row>
    <row r="3578" spans="1:1" x14ac:dyDescent="0.6">
      <c r="A3578" s="41"/>
    </row>
    <row r="3579" spans="1:1" x14ac:dyDescent="0.6">
      <c r="A3579" s="41"/>
    </row>
    <row r="3580" spans="1:1" x14ac:dyDescent="0.6">
      <c r="A3580" s="41"/>
    </row>
    <row r="3581" spans="1:1" x14ac:dyDescent="0.6">
      <c r="A3581" s="41"/>
    </row>
    <row r="3582" spans="1:1" x14ac:dyDescent="0.6">
      <c r="A3582" s="41"/>
    </row>
    <row r="3583" spans="1:1" x14ac:dyDescent="0.6">
      <c r="A3583" s="41"/>
    </row>
    <row r="3584" spans="1:1" x14ac:dyDescent="0.6">
      <c r="A3584" s="41"/>
    </row>
    <row r="3585" spans="1:1" x14ac:dyDescent="0.6">
      <c r="A3585" s="41"/>
    </row>
    <row r="3586" spans="1:1" x14ac:dyDescent="0.6">
      <c r="A3586" s="41"/>
    </row>
    <row r="3587" spans="1:1" x14ac:dyDescent="0.6">
      <c r="A3587" s="41"/>
    </row>
    <row r="3588" spans="1:1" x14ac:dyDescent="0.6">
      <c r="A3588" s="41"/>
    </row>
    <row r="3589" spans="1:1" x14ac:dyDescent="0.6">
      <c r="A3589" s="41"/>
    </row>
    <row r="3590" spans="1:1" x14ac:dyDescent="0.6">
      <c r="A3590" s="41"/>
    </row>
    <row r="3591" spans="1:1" x14ac:dyDescent="0.6">
      <c r="A3591" s="41"/>
    </row>
    <row r="3592" spans="1:1" x14ac:dyDescent="0.6">
      <c r="A3592" s="41"/>
    </row>
    <row r="3593" spans="1:1" x14ac:dyDescent="0.6">
      <c r="A3593" s="41"/>
    </row>
    <row r="3594" spans="1:1" x14ac:dyDescent="0.6">
      <c r="A3594" s="41"/>
    </row>
    <row r="3595" spans="1:1" x14ac:dyDescent="0.6">
      <c r="A3595" s="41"/>
    </row>
    <row r="3596" spans="1:1" x14ac:dyDescent="0.6">
      <c r="A3596" s="41"/>
    </row>
    <row r="3597" spans="1:1" x14ac:dyDescent="0.6">
      <c r="A3597" s="41"/>
    </row>
    <row r="3598" spans="1:1" x14ac:dyDescent="0.6">
      <c r="A3598" s="41"/>
    </row>
    <row r="3599" spans="1:1" x14ac:dyDescent="0.6">
      <c r="A3599" s="41"/>
    </row>
    <row r="3600" spans="1:1" x14ac:dyDescent="0.6">
      <c r="A3600" s="41"/>
    </row>
    <row r="3601" spans="1:1" x14ac:dyDescent="0.6">
      <c r="A3601" s="41"/>
    </row>
    <row r="3602" spans="1:1" x14ac:dyDescent="0.6">
      <c r="A3602" s="41"/>
    </row>
    <row r="3603" spans="1:1" x14ac:dyDescent="0.6">
      <c r="A3603" s="41"/>
    </row>
    <row r="3604" spans="1:1" x14ac:dyDescent="0.6">
      <c r="A3604" s="41"/>
    </row>
    <row r="3605" spans="1:1" x14ac:dyDescent="0.6">
      <c r="A3605" s="41"/>
    </row>
    <row r="3606" spans="1:1" x14ac:dyDescent="0.6">
      <c r="A3606" s="41"/>
    </row>
    <row r="3607" spans="1:1" x14ac:dyDescent="0.6">
      <c r="A3607" s="41"/>
    </row>
    <row r="3608" spans="1:1" x14ac:dyDescent="0.6">
      <c r="A3608" s="41"/>
    </row>
    <row r="3609" spans="1:1" x14ac:dyDescent="0.6">
      <c r="A3609" s="41"/>
    </row>
    <row r="3610" spans="1:1" x14ac:dyDescent="0.6">
      <c r="A3610" s="41"/>
    </row>
    <row r="3611" spans="1:1" x14ac:dyDescent="0.6">
      <c r="A3611" s="41"/>
    </row>
    <row r="3612" spans="1:1" x14ac:dyDescent="0.6">
      <c r="A3612" s="41"/>
    </row>
    <row r="3613" spans="1:1" x14ac:dyDescent="0.6">
      <c r="A3613" s="41"/>
    </row>
    <row r="3614" spans="1:1" x14ac:dyDescent="0.6">
      <c r="A3614" s="41"/>
    </row>
    <row r="3615" spans="1:1" x14ac:dyDescent="0.6">
      <c r="A3615" s="41"/>
    </row>
    <row r="3616" spans="1:1" x14ac:dyDescent="0.6">
      <c r="A3616" s="41"/>
    </row>
    <row r="3617" spans="1:1" x14ac:dyDescent="0.6">
      <c r="A3617" s="41"/>
    </row>
    <row r="3618" spans="1:1" x14ac:dyDescent="0.6">
      <c r="A3618" s="41"/>
    </row>
    <row r="3619" spans="1:1" x14ac:dyDescent="0.6">
      <c r="A3619" s="41"/>
    </row>
    <row r="3620" spans="1:1" x14ac:dyDescent="0.6">
      <c r="A3620" s="41"/>
    </row>
    <row r="3621" spans="1:1" x14ac:dyDescent="0.6">
      <c r="A3621" s="41"/>
    </row>
    <row r="3622" spans="1:1" x14ac:dyDescent="0.6">
      <c r="A3622" s="41"/>
    </row>
    <row r="3623" spans="1:1" x14ac:dyDescent="0.6">
      <c r="A3623" s="41"/>
    </row>
    <row r="3624" spans="1:1" x14ac:dyDescent="0.6">
      <c r="A3624" s="41"/>
    </row>
    <row r="3625" spans="1:1" x14ac:dyDescent="0.6">
      <c r="A3625" s="41"/>
    </row>
    <row r="3626" spans="1:1" x14ac:dyDescent="0.6">
      <c r="A3626" s="41"/>
    </row>
    <row r="3627" spans="1:1" x14ac:dyDescent="0.6">
      <c r="A3627" s="41"/>
    </row>
    <row r="3628" spans="1:1" x14ac:dyDescent="0.6">
      <c r="A3628" s="41"/>
    </row>
    <row r="3629" spans="1:1" x14ac:dyDescent="0.6">
      <c r="A3629" s="41"/>
    </row>
    <row r="3630" spans="1:1" x14ac:dyDescent="0.6">
      <c r="A3630" s="41"/>
    </row>
    <row r="3631" spans="1:1" x14ac:dyDescent="0.6">
      <c r="A3631" s="41"/>
    </row>
    <row r="3632" spans="1:1" x14ac:dyDescent="0.6">
      <c r="A3632" s="41"/>
    </row>
    <row r="3633" spans="1:1" x14ac:dyDescent="0.6">
      <c r="A3633" s="41"/>
    </row>
    <row r="3634" spans="1:1" x14ac:dyDescent="0.6">
      <c r="A3634" s="41"/>
    </row>
    <row r="3635" spans="1:1" x14ac:dyDescent="0.6">
      <c r="A3635" s="41"/>
    </row>
    <row r="3636" spans="1:1" x14ac:dyDescent="0.6">
      <c r="A3636" s="41"/>
    </row>
    <row r="3637" spans="1:1" x14ac:dyDescent="0.6">
      <c r="A3637" s="41"/>
    </row>
    <row r="3638" spans="1:1" x14ac:dyDescent="0.6">
      <c r="A3638" s="41"/>
    </row>
    <row r="3639" spans="1:1" x14ac:dyDescent="0.6">
      <c r="A3639" s="41"/>
    </row>
    <row r="3640" spans="1:1" x14ac:dyDescent="0.6">
      <c r="A3640" s="41"/>
    </row>
    <row r="3641" spans="1:1" x14ac:dyDescent="0.6">
      <c r="A3641" s="41"/>
    </row>
    <row r="3642" spans="1:1" x14ac:dyDescent="0.6">
      <c r="A3642" s="41"/>
    </row>
    <row r="3643" spans="1:1" x14ac:dyDescent="0.6">
      <c r="A3643" s="41"/>
    </row>
    <row r="3644" spans="1:1" x14ac:dyDescent="0.6">
      <c r="A3644" s="41"/>
    </row>
    <row r="3645" spans="1:1" x14ac:dyDescent="0.6">
      <c r="A3645" s="41"/>
    </row>
    <row r="3646" spans="1:1" x14ac:dyDescent="0.6">
      <c r="A3646" s="41"/>
    </row>
    <row r="3647" spans="1:1" x14ac:dyDescent="0.6">
      <c r="A3647" s="41"/>
    </row>
    <row r="3648" spans="1:1" x14ac:dyDescent="0.6">
      <c r="A3648" s="41"/>
    </row>
    <row r="3649" spans="1:1" x14ac:dyDescent="0.6">
      <c r="A3649" s="41"/>
    </row>
    <row r="3650" spans="1:1" x14ac:dyDescent="0.6">
      <c r="A3650" s="41"/>
    </row>
    <row r="3651" spans="1:1" x14ac:dyDescent="0.6">
      <c r="A3651" s="41"/>
    </row>
    <row r="3652" spans="1:1" x14ac:dyDescent="0.6">
      <c r="A3652" s="41"/>
    </row>
    <row r="3653" spans="1:1" x14ac:dyDescent="0.6">
      <c r="A3653" s="41"/>
    </row>
    <row r="3654" spans="1:1" x14ac:dyDescent="0.6">
      <c r="A3654" s="41"/>
    </row>
    <row r="3655" spans="1:1" x14ac:dyDescent="0.6">
      <c r="A3655" s="41"/>
    </row>
    <row r="3656" spans="1:1" x14ac:dyDescent="0.6">
      <c r="A3656" s="41"/>
    </row>
    <row r="3657" spans="1:1" x14ac:dyDescent="0.6">
      <c r="A3657" s="41"/>
    </row>
    <row r="3658" spans="1:1" x14ac:dyDescent="0.6">
      <c r="A3658" s="41"/>
    </row>
    <row r="3659" spans="1:1" x14ac:dyDescent="0.6">
      <c r="A3659" s="41"/>
    </row>
    <row r="3660" spans="1:1" x14ac:dyDescent="0.6">
      <c r="A3660" s="41"/>
    </row>
    <row r="3661" spans="1:1" x14ac:dyDescent="0.6">
      <c r="A3661" s="41"/>
    </row>
    <row r="3662" spans="1:1" x14ac:dyDescent="0.6">
      <c r="A3662" s="41"/>
    </row>
    <row r="3663" spans="1:1" x14ac:dyDescent="0.6">
      <c r="A3663" s="41"/>
    </row>
    <row r="3664" spans="1:1" x14ac:dyDescent="0.6">
      <c r="A3664" s="41"/>
    </row>
    <row r="3665" spans="1:1" x14ac:dyDescent="0.6">
      <c r="A3665" s="41"/>
    </row>
    <row r="3666" spans="1:1" x14ac:dyDescent="0.6">
      <c r="A3666" s="41"/>
    </row>
    <row r="3667" spans="1:1" x14ac:dyDescent="0.6">
      <c r="A3667" s="41"/>
    </row>
    <row r="3668" spans="1:1" x14ac:dyDescent="0.6">
      <c r="A3668" s="41"/>
    </row>
    <row r="3669" spans="1:1" x14ac:dyDescent="0.6">
      <c r="A3669" s="41"/>
    </row>
    <row r="3670" spans="1:1" x14ac:dyDescent="0.6">
      <c r="A3670" s="41"/>
    </row>
    <row r="3671" spans="1:1" x14ac:dyDescent="0.6">
      <c r="A3671" s="41"/>
    </row>
    <row r="3672" spans="1:1" x14ac:dyDescent="0.6">
      <c r="A3672" s="41"/>
    </row>
    <row r="3673" spans="1:1" x14ac:dyDescent="0.6">
      <c r="A3673" s="41"/>
    </row>
    <row r="3674" spans="1:1" x14ac:dyDescent="0.6">
      <c r="A3674" s="41"/>
    </row>
    <row r="3675" spans="1:1" x14ac:dyDescent="0.6">
      <c r="A3675" s="41"/>
    </row>
    <row r="3676" spans="1:1" x14ac:dyDescent="0.6">
      <c r="A3676" s="41"/>
    </row>
    <row r="3677" spans="1:1" x14ac:dyDescent="0.6">
      <c r="A3677" s="41"/>
    </row>
    <row r="3678" spans="1:1" x14ac:dyDescent="0.6">
      <c r="A3678" s="41"/>
    </row>
    <row r="3679" spans="1:1" x14ac:dyDescent="0.6">
      <c r="A3679" s="41"/>
    </row>
    <row r="3680" spans="1:1" x14ac:dyDescent="0.6">
      <c r="A3680" s="41"/>
    </row>
    <row r="3681" spans="1:1" x14ac:dyDescent="0.6">
      <c r="A3681" s="41"/>
    </row>
    <row r="3682" spans="1:1" x14ac:dyDescent="0.6">
      <c r="A3682" s="41"/>
    </row>
    <row r="3683" spans="1:1" x14ac:dyDescent="0.6">
      <c r="A3683" s="41"/>
    </row>
    <row r="3684" spans="1:1" x14ac:dyDescent="0.6">
      <c r="A3684" s="41"/>
    </row>
    <row r="3685" spans="1:1" x14ac:dyDescent="0.6">
      <c r="A3685" s="41"/>
    </row>
    <row r="3686" spans="1:1" x14ac:dyDescent="0.6">
      <c r="A3686" s="41"/>
    </row>
    <row r="3687" spans="1:1" x14ac:dyDescent="0.6">
      <c r="A3687" s="41"/>
    </row>
    <row r="3688" spans="1:1" x14ac:dyDescent="0.6">
      <c r="A3688" s="41"/>
    </row>
    <row r="3689" spans="1:1" x14ac:dyDescent="0.6">
      <c r="A3689" s="41"/>
    </row>
    <row r="3690" spans="1:1" x14ac:dyDescent="0.6">
      <c r="A3690" s="41"/>
    </row>
    <row r="3691" spans="1:1" x14ac:dyDescent="0.6">
      <c r="A3691" s="41"/>
    </row>
    <row r="3692" spans="1:1" x14ac:dyDescent="0.6">
      <c r="A3692" s="41"/>
    </row>
    <row r="3693" spans="1:1" x14ac:dyDescent="0.6">
      <c r="A3693" s="41"/>
    </row>
    <row r="3694" spans="1:1" x14ac:dyDescent="0.6">
      <c r="A3694" s="41"/>
    </row>
    <row r="3695" spans="1:1" x14ac:dyDescent="0.6">
      <c r="A3695" s="41"/>
    </row>
    <row r="3696" spans="1:1" x14ac:dyDescent="0.6">
      <c r="A3696" s="41"/>
    </row>
    <row r="3697" spans="1:1" x14ac:dyDescent="0.6">
      <c r="A3697" s="41"/>
    </row>
    <row r="3698" spans="1:1" x14ac:dyDescent="0.6">
      <c r="A3698" s="41"/>
    </row>
    <row r="3699" spans="1:1" x14ac:dyDescent="0.6">
      <c r="A3699" s="41"/>
    </row>
    <row r="3700" spans="1:1" x14ac:dyDescent="0.6">
      <c r="A3700" s="41"/>
    </row>
    <row r="3701" spans="1:1" x14ac:dyDescent="0.6">
      <c r="A3701" s="41"/>
    </row>
    <row r="3702" spans="1:1" x14ac:dyDescent="0.6">
      <c r="A3702" s="41"/>
    </row>
    <row r="3703" spans="1:1" x14ac:dyDescent="0.6">
      <c r="A3703" s="41"/>
    </row>
    <row r="3704" spans="1:1" x14ac:dyDescent="0.6">
      <c r="A3704" s="41"/>
    </row>
    <row r="3705" spans="1:1" x14ac:dyDescent="0.6">
      <c r="A3705" s="41"/>
    </row>
    <row r="3706" spans="1:1" x14ac:dyDescent="0.6">
      <c r="A3706" s="41"/>
    </row>
    <row r="3707" spans="1:1" x14ac:dyDescent="0.6">
      <c r="A3707" s="41"/>
    </row>
    <row r="3708" spans="1:1" x14ac:dyDescent="0.6">
      <c r="A3708" s="41"/>
    </row>
    <row r="3709" spans="1:1" x14ac:dyDescent="0.6">
      <c r="A3709" s="41"/>
    </row>
    <row r="3710" spans="1:1" x14ac:dyDescent="0.6">
      <c r="A3710" s="41"/>
    </row>
    <row r="3711" spans="1:1" x14ac:dyDescent="0.6">
      <c r="A3711" s="41"/>
    </row>
    <row r="3712" spans="1:1" x14ac:dyDescent="0.6">
      <c r="A3712" s="41"/>
    </row>
    <row r="3713" spans="1:1" x14ac:dyDescent="0.6">
      <c r="A3713" s="41"/>
    </row>
    <row r="3714" spans="1:1" x14ac:dyDescent="0.6">
      <c r="A3714" s="41"/>
    </row>
    <row r="3715" spans="1:1" x14ac:dyDescent="0.6">
      <c r="A3715" s="41"/>
    </row>
    <row r="3716" spans="1:1" x14ac:dyDescent="0.6">
      <c r="A3716" s="41"/>
    </row>
    <row r="3717" spans="1:1" x14ac:dyDescent="0.6">
      <c r="A3717" s="41"/>
    </row>
    <row r="3718" spans="1:1" x14ac:dyDescent="0.6">
      <c r="A3718" s="41"/>
    </row>
    <row r="3719" spans="1:1" x14ac:dyDescent="0.6">
      <c r="A3719" s="41"/>
    </row>
    <row r="3720" spans="1:1" x14ac:dyDescent="0.6">
      <c r="A3720" s="41"/>
    </row>
    <row r="3721" spans="1:1" x14ac:dyDescent="0.6">
      <c r="A3721" s="41"/>
    </row>
    <row r="3722" spans="1:1" x14ac:dyDescent="0.6">
      <c r="A3722" s="41"/>
    </row>
    <row r="3723" spans="1:1" x14ac:dyDescent="0.6">
      <c r="A3723" s="41"/>
    </row>
    <row r="3724" spans="1:1" x14ac:dyDescent="0.6">
      <c r="A3724" s="41"/>
    </row>
    <row r="3725" spans="1:1" x14ac:dyDescent="0.6">
      <c r="A3725" s="41"/>
    </row>
    <row r="3726" spans="1:1" x14ac:dyDescent="0.6">
      <c r="A3726" s="41"/>
    </row>
    <row r="3727" spans="1:1" x14ac:dyDescent="0.6">
      <c r="A3727" s="41"/>
    </row>
    <row r="3728" spans="1:1" x14ac:dyDescent="0.6">
      <c r="A3728" s="41"/>
    </row>
    <row r="3729" spans="1:1" x14ac:dyDescent="0.6">
      <c r="A3729" s="41"/>
    </row>
    <row r="3730" spans="1:1" x14ac:dyDescent="0.6">
      <c r="A3730" s="41"/>
    </row>
    <row r="3731" spans="1:1" x14ac:dyDescent="0.6">
      <c r="A3731" s="41"/>
    </row>
    <row r="3732" spans="1:1" x14ac:dyDescent="0.6">
      <c r="A3732" s="41"/>
    </row>
    <row r="3733" spans="1:1" x14ac:dyDescent="0.6">
      <c r="A3733" s="41"/>
    </row>
    <row r="3734" spans="1:1" x14ac:dyDescent="0.6">
      <c r="A3734" s="41"/>
    </row>
    <row r="3735" spans="1:1" x14ac:dyDescent="0.6">
      <c r="A3735" s="41"/>
    </row>
    <row r="3736" spans="1:1" x14ac:dyDescent="0.6">
      <c r="A3736" s="41"/>
    </row>
    <row r="3737" spans="1:1" x14ac:dyDescent="0.6">
      <c r="A3737" s="41"/>
    </row>
    <row r="3738" spans="1:1" x14ac:dyDescent="0.6">
      <c r="A3738" s="41"/>
    </row>
    <row r="3739" spans="1:1" x14ac:dyDescent="0.6">
      <c r="A3739" s="41"/>
    </row>
    <row r="3740" spans="1:1" x14ac:dyDescent="0.6">
      <c r="A3740" s="41"/>
    </row>
    <row r="3741" spans="1:1" x14ac:dyDescent="0.6">
      <c r="A3741" s="41"/>
    </row>
    <row r="3742" spans="1:1" x14ac:dyDescent="0.6">
      <c r="A3742" s="41"/>
    </row>
    <row r="3743" spans="1:1" x14ac:dyDescent="0.6">
      <c r="A3743" s="41"/>
    </row>
    <row r="3744" spans="1:1" x14ac:dyDescent="0.6">
      <c r="A3744" s="41"/>
    </row>
    <row r="3745" spans="1:1" x14ac:dyDescent="0.6">
      <c r="A3745" s="41"/>
    </row>
    <row r="3746" spans="1:1" x14ac:dyDescent="0.6">
      <c r="A3746" s="41"/>
    </row>
    <row r="3747" spans="1:1" x14ac:dyDescent="0.6">
      <c r="A3747" s="41"/>
    </row>
    <row r="3748" spans="1:1" x14ac:dyDescent="0.6">
      <c r="A3748" s="41"/>
    </row>
    <row r="3749" spans="1:1" x14ac:dyDescent="0.6">
      <c r="A3749" s="41"/>
    </row>
    <row r="3750" spans="1:1" x14ac:dyDescent="0.6">
      <c r="A3750" s="41"/>
    </row>
    <row r="3751" spans="1:1" x14ac:dyDescent="0.6">
      <c r="A3751" s="41"/>
    </row>
    <row r="3752" spans="1:1" x14ac:dyDescent="0.6">
      <c r="A3752" s="41"/>
    </row>
    <row r="3753" spans="1:1" x14ac:dyDescent="0.6">
      <c r="A3753" s="41"/>
    </row>
    <row r="3754" spans="1:1" x14ac:dyDescent="0.6">
      <c r="A3754" s="41"/>
    </row>
    <row r="3755" spans="1:1" x14ac:dyDescent="0.6">
      <c r="A3755" s="41"/>
    </row>
    <row r="3756" spans="1:1" x14ac:dyDescent="0.6">
      <c r="A3756" s="41"/>
    </row>
    <row r="3757" spans="1:1" x14ac:dyDescent="0.6">
      <c r="A3757" s="41"/>
    </row>
    <row r="3758" spans="1:1" x14ac:dyDescent="0.6">
      <c r="A3758" s="41"/>
    </row>
    <row r="3759" spans="1:1" x14ac:dyDescent="0.6">
      <c r="A3759" s="41"/>
    </row>
    <row r="3760" spans="1:1" x14ac:dyDescent="0.6">
      <c r="A3760" s="41"/>
    </row>
    <row r="3761" spans="1:1" x14ac:dyDescent="0.6">
      <c r="A3761" s="41"/>
    </row>
    <row r="3762" spans="1:1" x14ac:dyDescent="0.6">
      <c r="A3762" s="41"/>
    </row>
    <row r="3763" spans="1:1" x14ac:dyDescent="0.6">
      <c r="A3763" s="41"/>
    </row>
    <row r="3764" spans="1:1" x14ac:dyDescent="0.6">
      <c r="A3764" s="41"/>
    </row>
    <row r="3765" spans="1:1" x14ac:dyDescent="0.6">
      <c r="A3765" s="41"/>
    </row>
    <row r="3766" spans="1:1" x14ac:dyDescent="0.6">
      <c r="A3766" s="41"/>
    </row>
    <row r="3767" spans="1:1" x14ac:dyDescent="0.6">
      <c r="A3767" s="41"/>
    </row>
    <row r="3768" spans="1:1" x14ac:dyDescent="0.6">
      <c r="A3768" s="41"/>
    </row>
    <row r="3769" spans="1:1" x14ac:dyDescent="0.6">
      <c r="A3769" s="41"/>
    </row>
    <row r="3770" spans="1:1" x14ac:dyDescent="0.6">
      <c r="A3770" s="41"/>
    </row>
    <row r="3771" spans="1:1" x14ac:dyDescent="0.6">
      <c r="A3771" s="41"/>
    </row>
    <row r="3772" spans="1:1" x14ac:dyDescent="0.6">
      <c r="A3772" s="41"/>
    </row>
    <row r="3773" spans="1:1" x14ac:dyDescent="0.6">
      <c r="A3773" s="41"/>
    </row>
    <row r="3774" spans="1:1" x14ac:dyDescent="0.6">
      <c r="A3774" s="41"/>
    </row>
    <row r="3775" spans="1:1" x14ac:dyDescent="0.6">
      <c r="A3775" s="41"/>
    </row>
    <row r="3776" spans="1:1" x14ac:dyDescent="0.6">
      <c r="A3776" s="41"/>
    </row>
    <row r="3777" spans="1:1" x14ac:dyDescent="0.6">
      <c r="A3777" s="41"/>
    </row>
    <row r="3778" spans="1:1" x14ac:dyDescent="0.6">
      <c r="A3778" s="41"/>
    </row>
    <row r="3779" spans="1:1" x14ac:dyDescent="0.6">
      <c r="A3779" s="41"/>
    </row>
    <row r="3780" spans="1:1" x14ac:dyDescent="0.6">
      <c r="A3780" s="41"/>
    </row>
    <row r="3781" spans="1:1" x14ac:dyDescent="0.6">
      <c r="A3781" s="41"/>
    </row>
    <row r="3782" spans="1:1" x14ac:dyDescent="0.6">
      <c r="A3782" s="41"/>
    </row>
    <row r="3783" spans="1:1" x14ac:dyDescent="0.6">
      <c r="A3783" s="41"/>
    </row>
    <row r="3784" spans="1:1" x14ac:dyDescent="0.6">
      <c r="A3784" s="41"/>
    </row>
    <row r="3785" spans="1:1" x14ac:dyDescent="0.6">
      <c r="A3785" s="41"/>
    </row>
    <row r="3786" spans="1:1" x14ac:dyDescent="0.6">
      <c r="A3786" s="41"/>
    </row>
    <row r="3787" spans="1:1" x14ac:dyDescent="0.6">
      <c r="A3787" s="41"/>
    </row>
    <row r="3788" spans="1:1" x14ac:dyDescent="0.6">
      <c r="A3788" s="41"/>
    </row>
    <row r="3789" spans="1:1" x14ac:dyDescent="0.6">
      <c r="A3789" s="41"/>
    </row>
    <row r="3790" spans="1:1" x14ac:dyDescent="0.6">
      <c r="A3790" s="41"/>
    </row>
    <row r="3791" spans="1:1" x14ac:dyDescent="0.6">
      <c r="A3791" s="41"/>
    </row>
    <row r="3792" spans="1:1" x14ac:dyDescent="0.6">
      <c r="A3792" s="41"/>
    </row>
    <row r="3793" spans="1:1" x14ac:dyDescent="0.6">
      <c r="A3793" s="41"/>
    </row>
    <row r="3794" spans="1:1" x14ac:dyDescent="0.6">
      <c r="A3794" s="41"/>
    </row>
    <row r="3795" spans="1:1" x14ac:dyDescent="0.6">
      <c r="A3795" s="41"/>
    </row>
    <row r="3796" spans="1:1" x14ac:dyDescent="0.6">
      <c r="A3796" s="41"/>
    </row>
    <row r="3797" spans="1:1" x14ac:dyDescent="0.6">
      <c r="A3797" s="41"/>
    </row>
    <row r="3798" spans="1:1" x14ac:dyDescent="0.6">
      <c r="A3798" s="41"/>
    </row>
    <row r="3799" spans="1:1" x14ac:dyDescent="0.6">
      <c r="A3799" s="41"/>
    </row>
    <row r="3800" spans="1:1" x14ac:dyDescent="0.6">
      <c r="A3800" s="41"/>
    </row>
    <row r="3801" spans="1:1" x14ac:dyDescent="0.6">
      <c r="A3801" s="41"/>
    </row>
    <row r="3802" spans="1:1" x14ac:dyDescent="0.6">
      <c r="A3802" s="41"/>
    </row>
    <row r="3803" spans="1:1" x14ac:dyDescent="0.6">
      <c r="A3803" s="41"/>
    </row>
    <row r="3804" spans="1:1" x14ac:dyDescent="0.6">
      <c r="A3804" s="41"/>
    </row>
    <row r="3805" spans="1:1" x14ac:dyDescent="0.6">
      <c r="A3805" s="41"/>
    </row>
    <row r="3806" spans="1:1" x14ac:dyDescent="0.6">
      <c r="A3806" s="41"/>
    </row>
    <row r="3807" spans="1:1" x14ac:dyDescent="0.6">
      <c r="A3807" s="41"/>
    </row>
    <row r="3808" spans="1:1" x14ac:dyDescent="0.6">
      <c r="A3808" s="41"/>
    </row>
    <row r="3809" spans="1:1" x14ac:dyDescent="0.6">
      <c r="A3809" s="41"/>
    </row>
    <row r="3810" spans="1:1" x14ac:dyDescent="0.6">
      <c r="A3810" s="41"/>
    </row>
    <row r="3811" spans="1:1" x14ac:dyDescent="0.6">
      <c r="A3811" s="41"/>
    </row>
    <row r="3812" spans="1:1" x14ac:dyDescent="0.6">
      <c r="A3812" s="41"/>
    </row>
    <row r="3813" spans="1:1" x14ac:dyDescent="0.6">
      <c r="A3813" s="41"/>
    </row>
    <row r="3814" spans="1:1" x14ac:dyDescent="0.6">
      <c r="A3814" s="41"/>
    </row>
    <row r="3815" spans="1:1" x14ac:dyDescent="0.6">
      <c r="A3815" s="41"/>
    </row>
    <row r="3816" spans="1:1" x14ac:dyDescent="0.6">
      <c r="A3816" s="41"/>
    </row>
    <row r="3817" spans="1:1" x14ac:dyDescent="0.6">
      <c r="A3817" s="41"/>
    </row>
    <row r="3818" spans="1:1" x14ac:dyDescent="0.6">
      <c r="A3818" s="41"/>
    </row>
    <row r="3819" spans="1:1" x14ac:dyDescent="0.6">
      <c r="A3819" s="41"/>
    </row>
    <row r="3820" spans="1:1" x14ac:dyDescent="0.6">
      <c r="A3820" s="41"/>
    </row>
    <row r="3821" spans="1:1" x14ac:dyDescent="0.6">
      <c r="A3821" s="41"/>
    </row>
    <row r="3822" spans="1:1" x14ac:dyDescent="0.6">
      <c r="A3822" s="41"/>
    </row>
    <row r="3823" spans="1:1" x14ac:dyDescent="0.6">
      <c r="A3823" s="41"/>
    </row>
    <row r="3824" spans="1:1" x14ac:dyDescent="0.6">
      <c r="A3824" s="41"/>
    </row>
    <row r="3825" spans="1:1" x14ac:dyDescent="0.6">
      <c r="A3825" s="41"/>
    </row>
    <row r="3826" spans="1:1" x14ac:dyDescent="0.6">
      <c r="A3826" s="41"/>
    </row>
    <row r="3827" spans="1:1" x14ac:dyDescent="0.6">
      <c r="A3827" s="41"/>
    </row>
    <row r="3828" spans="1:1" x14ac:dyDescent="0.6">
      <c r="A3828" s="41"/>
    </row>
    <row r="3829" spans="1:1" x14ac:dyDescent="0.6">
      <c r="A3829" s="41"/>
    </row>
    <row r="3830" spans="1:1" x14ac:dyDescent="0.6">
      <c r="A3830" s="41"/>
    </row>
    <row r="3831" spans="1:1" x14ac:dyDescent="0.6">
      <c r="A3831" s="41"/>
    </row>
    <row r="3832" spans="1:1" x14ac:dyDescent="0.6">
      <c r="A3832" s="41"/>
    </row>
    <row r="3833" spans="1:1" x14ac:dyDescent="0.6">
      <c r="A3833" s="41"/>
    </row>
    <row r="3834" spans="1:1" x14ac:dyDescent="0.6">
      <c r="A3834" s="41"/>
    </row>
    <row r="3835" spans="1:1" x14ac:dyDescent="0.6">
      <c r="A3835" s="41"/>
    </row>
    <row r="3836" spans="1:1" x14ac:dyDescent="0.6">
      <c r="A3836" s="41"/>
    </row>
    <row r="3837" spans="1:1" x14ac:dyDescent="0.6">
      <c r="A3837" s="41"/>
    </row>
    <row r="3838" spans="1:1" x14ac:dyDescent="0.6">
      <c r="A3838" s="41"/>
    </row>
    <row r="3839" spans="1:1" x14ac:dyDescent="0.6">
      <c r="A3839" s="41"/>
    </row>
    <row r="3840" spans="1:1" x14ac:dyDescent="0.6">
      <c r="A3840" s="41"/>
    </row>
    <row r="3841" spans="1:1" x14ac:dyDescent="0.6">
      <c r="A3841" s="41"/>
    </row>
    <row r="3842" spans="1:1" x14ac:dyDescent="0.6">
      <c r="A3842" s="41"/>
    </row>
    <row r="3843" spans="1:1" x14ac:dyDescent="0.6">
      <c r="A3843" s="41"/>
    </row>
    <row r="3844" spans="1:1" x14ac:dyDescent="0.6">
      <c r="A3844" s="41"/>
    </row>
    <row r="3845" spans="1:1" x14ac:dyDescent="0.6">
      <c r="A3845" s="41"/>
    </row>
    <row r="3846" spans="1:1" x14ac:dyDescent="0.6">
      <c r="A3846" s="41"/>
    </row>
    <row r="3847" spans="1:1" x14ac:dyDescent="0.6">
      <c r="A3847" s="41"/>
    </row>
    <row r="3848" spans="1:1" x14ac:dyDescent="0.6">
      <c r="A3848" s="41"/>
    </row>
    <row r="3849" spans="1:1" x14ac:dyDescent="0.6">
      <c r="A3849" s="41"/>
    </row>
    <row r="3850" spans="1:1" x14ac:dyDescent="0.6">
      <c r="A3850" s="41"/>
    </row>
    <row r="3851" spans="1:1" x14ac:dyDescent="0.6">
      <c r="A3851" s="41"/>
    </row>
    <row r="3852" spans="1:1" x14ac:dyDescent="0.6">
      <c r="A3852" s="41"/>
    </row>
    <row r="3853" spans="1:1" x14ac:dyDescent="0.6">
      <c r="A3853" s="41"/>
    </row>
    <row r="3854" spans="1:1" x14ac:dyDescent="0.6">
      <c r="A3854" s="41"/>
    </row>
    <row r="3855" spans="1:1" x14ac:dyDescent="0.6">
      <c r="A3855" s="41"/>
    </row>
    <row r="3856" spans="1:1" x14ac:dyDescent="0.6">
      <c r="A3856" s="41"/>
    </row>
    <row r="3857" spans="1:1" x14ac:dyDescent="0.6">
      <c r="A3857" s="41"/>
    </row>
    <row r="3858" spans="1:1" x14ac:dyDescent="0.6">
      <c r="A3858" s="41"/>
    </row>
    <row r="3859" spans="1:1" x14ac:dyDescent="0.6">
      <c r="A3859" s="41"/>
    </row>
    <row r="3860" spans="1:1" x14ac:dyDescent="0.6">
      <c r="A3860" s="41"/>
    </row>
    <row r="3861" spans="1:1" x14ac:dyDescent="0.6">
      <c r="A3861" s="41"/>
    </row>
    <row r="3862" spans="1:1" x14ac:dyDescent="0.6">
      <c r="A3862" s="41"/>
    </row>
    <row r="3863" spans="1:1" x14ac:dyDescent="0.6">
      <c r="A3863" s="41"/>
    </row>
    <row r="3864" spans="1:1" x14ac:dyDescent="0.6">
      <c r="A3864" s="41"/>
    </row>
    <row r="3865" spans="1:1" x14ac:dyDescent="0.6">
      <c r="A3865" s="41"/>
    </row>
    <row r="3866" spans="1:1" x14ac:dyDescent="0.6">
      <c r="A3866" s="41"/>
    </row>
    <row r="3867" spans="1:1" x14ac:dyDescent="0.6">
      <c r="A3867" s="41"/>
    </row>
    <row r="3868" spans="1:1" x14ac:dyDescent="0.6">
      <c r="A3868" s="41"/>
    </row>
    <row r="3869" spans="1:1" x14ac:dyDescent="0.6">
      <c r="A3869" s="41"/>
    </row>
    <row r="3870" spans="1:1" x14ac:dyDescent="0.6">
      <c r="A3870" s="41"/>
    </row>
    <row r="3871" spans="1:1" x14ac:dyDescent="0.6">
      <c r="A3871" s="41"/>
    </row>
    <row r="3872" spans="1:1" x14ac:dyDescent="0.6">
      <c r="A3872" s="41"/>
    </row>
    <row r="3873" spans="1:1" x14ac:dyDescent="0.6">
      <c r="A3873" s="41"/>
    </row>
    <row r="3874" spans="1:1" x14ac:dyDescent="0.6">
      <c r="A3874" s="41"/>
    </row>
    <row r="3875" spans="1:1" x14ac:dyDescent="0.6">
      <c r="A3875" s="41"/>
    </row>
    <row r="3876" spans="1:1" x14ac:dyDescent="0.6">
      <c r="A3876" s="41"/>
    </row>
    <row r="3877" spans="1:1" x14ac:dyDescent="0.6">
      <c r="A3877" s="41"/>
    </row>
    <row r="3878" spans="1:1" x14ac:dyDescent="0.6">
      <c r="A3878" s="41"/>
    </row>
    <row r="3879" spans="1:1" x14ac:dyDescent="0.6">
      <c r="A3879" s="41"/>
    </row>
    <row r="3880" spans="1:1" x14ac:dyDescent="0.6">
      <c r="A3880" s="41"/>
    </row>
    <row r="3881" spans="1:1" x14ac:dyDescent="0.6">
      <c r="A3881" s="41"/>
    </row>
    <row r="3882" spans="1:1" x14ac:dyDescent="0.6">
      <c r="A3882" s="41"/>
    </row>
    <row r="3883" spans="1:1" x14ac:dyDescent="0.6">
      <c r="A3883" s="41"/>
    </row>
    <row r="3884" spans="1:1" x14ac:dyDescent="0.6">
      <c r="A3884" s="41"/>
    </row>
    <row r="3885" spans="1:1" x14ac:dyDescent="0.6">
      <c r="A3885" s="41"/>
    </row>
    <row r="3886" spans="1:1" x14ac:dyDescent="0.6">
      <c r="A3886" s="41"/>
    </row>
    <row r="3887" spans="1:1" x14ac:dyDescent="0.6">
      <c r="A3887" s="41"/>
    </row>
    <row r="3888" spans="1:1" x14ac:dyDescent="0.6">
      <c r="A3888" s="41"/>
    </row>
    <row r="3889" spans="1:1" x14ac:dyDescent="0.6">
      <c r="A3889" s="41"/>
    </row>
    <row r="3890" spans="1:1" x14ac:dyDescent="0.6">
      <c r="A3890" s="41"/>
    </row>
    <row r="3891" spans="1:1" x14ac:dyDescent="0.6">
      <c r="A3891" s="41"/>
    </row>
    <row r="3892" spans="1:1" x14ac:dyDescent="0.6">
      <c r="A3892" s="41"/>
    </row>
    <row r="3893" spans="1:1" x14ac:dyDescent="0.6">
      <c r="A3893" s="41"/>
    </row>
    <row r="3894" spans="1:1" x14ac:dyDescent="0.6">
      <c r="A3894" s="41"/>
    </row>
    <row r="3895" spans="1:1" x14ac:dyDescent="0.6">
      <c r="A3895" s="41"/>
    </row>
    <row r="3896" spans="1:1" x14ac:dyDescent="0.6">
      <c r="A3896" s="41"/>
    </row>
    <row r="3897" spans="1:1" x14ac:dyDescent="0.6">
      <c r="A3897" s="41"/>
    </row>
    <row r="3898" spans="1:1" x14ac:dyDescent="0.6">
      <c r="A3898" s="41"/>
    </row>
    <row r="3899" spans="1:1" x14ac:dyDescent="0.6">
      <c r="A3899" s="41"/>
    </row>
    <row r="3900" spans="1:1" x14ac:dyDescent="0.6">
      <c r="A3900" s="41"/>
    </row>
    <row r="3901" spans="1:1" x14ac:dyDescent="0.6">
      <c r="A3901" s="41"/>
    </row>
    <row r="3902" spans="1:1" x14ac:dyDescent="0.6">
      <c r="A3902" s="41"/>
    </row>
    <row r="3903" spans="1:1" x14ac:dyDescent="0.6">
      <c r="A3903" s="41"/>
    </row>
    <row r="3904" spans="1:1" x14ac:dyDescent="0.6">
      <c r="A3904" s="41"/>
    </row>
    <row r="3905" spans="1:1" x14ac:dyDescent="0.6">
      <c r="A3905" s="41"/>
    </row>
    <row r="3906" spans="1:1" x14ac:dyDescent="0.6">
      <c r="A3906" s="41"/>
    </row>
    <row r="3907" spans="1:1" x14ac:dyDescent="0.6">
      <c r="A3907" s="41"/>
    </row>
    <row r="3908" spans="1:1" x14ac:dyDescent="0.6">
      <c r="A3908" s="41"/>
    </row>
    <row r="3909" spans="1:1" x14ac:dyDescent="0.6">
      <c r="A3909" s="41"/>
    </row>
    <row r="3910" spans="1:1" x14ac:dyDescent="0.6">
      <c r="A3910" s="41"/>
    </row>
    <row r="3911" spans="1:1" x14ac:dyDescent="0.6">
      <c r="A3911" s="41"/>
    </row>
    <row r="3912" spans="1:1" x14ac:dyDescent="0.6">
      <c r="A3912" s="41"/>
    </row>
    <row r="3913" spans="1:1" x14ac:dyDescent="0.6">
      <c r="A3913" s="41"/>
    </row>
    <row r="3914" spans="1:1" x14ac:dyDescent="0.6">
      <c r="A3914" s="41"/>
    </row>
    <row r="3915" spans="1:1" x14ac:dyDescent="0.6">
      <c r="A3915" s="41"/>
    </row>
    <row r="3916" spans="1:1" x14ac:dyDescent="0.6">
      <c r="A3916" s="41"/>
    </row>
    <row r="3917" spans="1:1" x14ac:dyDescent="0.6">
      <c r="A3917" s="41"/>
    </row>
    <row r="3918" spans="1:1" x14ac:dyDescent="0.6">
      <c r="A3918" s="41"/>
    </row>
    <row r="3919" spans="1:1" x14ac:dyDescent="0.6">
      <c r="A3919" s="41"/>
    </row>
    <row r="3920" spans="1:1" x14ac:dyDescent="0.6">
      <c r="A3920" s="41"/>
    </row>
    <row r="3921" spans="1:1" x14ac:dyDescent="0.6">
      <c r="A3921" s="41"/>
    </row>
    <row r="3922" spans="1:1" x14ac:dyDescent="0.6">
      <c r="A3922" s="41"/>
    </row>
    <row r="3923" spans="1:1" x14ac:dyDescent="0.6">
      <c r="A3923" s="41"/>
    </row>
    <row r="3924" spans="1:1" x14ac:dyDescent="0.6">
      <c r="A3924" s="41"/>
    </row>
    <row r="3925" spans="1:1" x14ac:dyDescent="0.6">
      <c r="A3925" s="41"/>
    </row>
    <row r="3926" spans="1:1" x14ac:dyDescent="0.6">
      <c r="A3926" s="41"/>
    </row>
    <row r="3927" spans="1:1" x14ac:dyDescent="0.6">
      <c r="A3927" s="41"/>
    </row>
    <row r="3928" spans="1:1" x14ac:dyDescent="0.6">
      <c r="A3928" s="41"/>
    </row>
    <row r="3929" spans="1:1" x14ac:dyDescent="0.6">
      <c r="A3929" s="41"/>
    </row>
    <row r="3930" spans="1:1" x14ac:dyDescent="0.6">
      <c r="A3930" s="41"/>
    </row>
    <row r="3931" spans="1:1" x14ac:dyDescent="0.6">
      <c r="A3931" s="41"/>
    </row>
    <row r="3932" spans="1:1" x14ac:dyDescent="0.6">
      <c r="A3932" s="41"/>
    </row>
    <row r="3933" spans="1:1" x14ac:dyDescent="0.6">
      <c r="A3933" s="41"/>
    </row>
    <row r="3934" spans="1:1" x14ac:dyDescent="0.6">
      <c r="A3934" s="41"/>
    </row>
    <row r="3935" spans="1:1" x14ac:dyDescent="0.6">
      <c r="A3935" s="41"/>
    </row>
    <row r="3936" spans="1:1" x14ac:dyDescent="0.6">
      <c r="A3936" s="41"/>
    </row>
    <row r="3937" spans="1:1" x14ac:dyDescent="0.6">
      <c r="A3937" s="41"/>
    </row>
    <row r="3938" spans="1:1" x14ac:dyDescent="0.6">
      <c r="A3938" s="41"/>
    </row>
    <row r="3939" spans="1:1" x14ac:dyDescent="0.6">
      <c r="A3939" s="41"/>
    </row>
    <row r="3940" spans="1:1" x14ac:dyDescent="0.6">
      <c r="A3940" s="41"/>
    </row>
    <row r="3941" spans="1:1" x14ac:dyDescent="0.6">
      <c r="A3941" s="41"/>
    </row>
    <row r="3942" spans="1:1" x14ac:dyDescent="0.6">
      <c r="A3942" s="41"/>
    </row>
    <row r="3943" spans="1:1" x14ac:dyDescent="0.6">
      <c r="A3943" s="41"/>
    </row>
    <row r="3944" spans="1:1" x14ac:dyDescent="0.6">
      <c r="A3944" s="41"/>
    </row>
    <row r="3945" spans="1:1" x14ac:dyDescent="0.6">
      <c r="A3945" s="41"/>
    </row>
    <row r="3946" spans="1:1" x14ac:dyDescent="0.6">
      <c r="A3946" s="41"/>
    </row>
    <row r="3947" spans="1:1" x14ac:dyDescent="0.6">
      <c r="A3947" s="41"/>
    </row>
    <row r="3948" spans="1:1" x14ac:dyDescent="0.6">
      <c r="A3948" s="41"/>
    </row>
    <row r="3949" spans="1:1" x14ac:dyDescent="0.6">
      <c r="A3949" s="41"/>
    </row>
    <row r="3950" spans="1:1" x14ac:dyDescent="0.6">
      <c r="A3950" s="41"/>
    </row>
    <row r="3951" spans="1:1" x14ac:dyDescent="0.6">
      <c r="A3951" s="41"/>
    </row>
    <row r="3952" spans="1:1" x14ac:dyDescent="0.6">
      <c r="A3952" s="41"/>
    </row>
    <row r="3953" spans="1:1" x14ac:dyDescent="0.6">
      <c r="A3953" s="41"/>
    </row>
    <row r="3954" spans="1:1" x14ac:dyDescent="0.6">
      <c r="A3954" s="41"/>
    </row>
    <row r="3955" spans="1:1" x14ac:dyDescent="0.6">
      <c r="A3955" s="41"/>
    </row>
    <row r="3956" spans="1:1" x14ac:dyDescent="0.6">
      <c r="A3956" s="41"/>
    </row>
    <row r="3957" spans="1:1" x14ac:dyDescent="0.6">
      <c r="A3957" s="41"/>
    </row>
    <row r="3958" spans="1:1" x14ac:dyDescent="0.6">
      <c r="A3958" s="41"/>
    </row>
    <row r="3959" spans="1:1" x14ac:dyDescent="0.6">
      <c r="A3959" s="41"/>
    </row>
    <row r="3960" spans="1:1" x14ac:dyDescent="0.6">
      <c r="A3960" s="41"/>
    </row>
    <row r="3961" spans="1:1" x14ac:dyDescent="0.6">
      <c r="A3961" s="41"/>
    </row>
    <row r="3962" spans="1:1" x14ac:dyDescent="0.6">
      <c r="A3962" s="41"/>
    </row>
    <row r="3963" spans="1:1" x14ac:dyDescent="0.6">
      <c r="A3963" s="41"/>
    </row>
    <row r="3964" spans="1:1" x14ac:dyDescent="0.6">
      <c r="A3964" s="41"/>
    </row>
    <row r="3965" spans="1:1" x14ac:dyDescent="0.6">
      <c r="A3965" s="41"/>
    </row>
    <row r="3966" spans="1:1" x14ac:dyDescent="0.6">
      <c r="A3966" s="41"/>
    </row>
    <row r="3967" spans="1:1" x14ac:dyDescent="0.6">
      <c r="A3967" s="41"/>
    </row>
    <row r="3968" spans="1:1" x14ac:dyDescent="0.6">
      <c r="A3968" s="41"/>
    </row>
    <row r="3969" spans="1:1" x14ac:dyDescent="0.6">
      <c r="A3969" s="41"/>
    </row>
    <row r="3970" spans="1:1" x14ac:dyDescent="0.6">
      <c r="A3970" s="41"/>
    </row>
    <row r="3971" spans="1:1" x14ac:dyDescent="0.6">
      <c r="A3971" s="41"/>
    </row>
    <row r="3972" spans="1:1" x14ac:dyDescent="0.6">
      <c r="A3972" s="41"/>
    </row>
    <row r="3973" spans="1:1" x14ac:dyDescent="0.6">
      <c r="A3973" s="41"/>
    </row>
    <row r="3974" spans="1:1" x14ac:dyDescent="0.6">
      <c r="A3974" s="41"/>
    </row>
    <row r="3975" spans="1:1" x14ac:dyDescent="0.6">
      <c r="A3975" s="41"/>
    </row>
    <row r="3976" spans="1:1" x14ac:dyDescent="0.6">
      <c r="A3976" s="41"/>
    </row>
    <row r="3977" spans="1:1" x14ac:dyDescent="0.6">
      <c r="A3977" s="41"/>
    </row>
    <row r="3978" spans="1:1" x14ac:dyDescent="0.6">
      <c r="A3978" s="41"/>
    </row>
    <row r="3979" spans="1:1" x14ac:dyDescent="0.6">
      <c r="A3979" s="41"/>
    </row>
    <row r="3980" spans="1:1" x14ac:dyDescent="0.6">
      <c r="A3980" s="41"/>
    </row>
    <row r="3981" spans="1:1" x14ac:dyDescent="0.6">
      <c r="A3981" s="41"/>
    </row>
    <row r="3982" spans="1:1" x14ac:dyDescent="0.6">
      <c r="A3982" s="41"/>
    </row>
    <row r="3983" spans="1:1" x14ac:dyDescent="0.6">
      <c r="A3983" s="41"/>
    </row>
    <row r="3984" spans="1:1" x14ac:dyDescent="0.6">
      <c r="A3984" s="41"/>
    </row>
    <row r="3985" spans="1:1" x14ac:dyDescent="0.6">
      <c r="A3985" s="41"/>
    </row>
    <row r="3986" spans="1:1" x14ac:dyDescent="0.6">
      <c r="A3986" s="41"/>
    </row>
    <row r="3987" spans="1:1" x14ac:dyDescent="0.6">
      <c r="A3987" s="41"/>
    </row>
    <row r="3988" spans="1:1" x14ac:dyDescent="0.6">
      <c r="A3988" s="41"/>
    </row>
    <row r="3989" spans="1:1" x14ac:dyDescent="0.6">
      <c r="A3989" s="41"/>
    </row>
    <row r="3990" spans="1:1" x14ac:dyDescent="0.6">
      <c r="A3990" s="41"/>
    </row>
    <row r="3991" spans="1:1" x14ac:dyDescent="0.6">
      <c r="A3991" s="41"/>
    </row>
    <row r="3992" spans="1:1" x14ac:dyDescent="0.6">
      <c r="A3992" s="41"/>
    </row>
    <row r="3993" spans="1:1" x14ac:dyDescent="0.6">
      <c r="A3993" s="41"/>
    </row>
    <row r="3994" spans="1:1" x14ac:dyDescent="0.6">
      <c r="A3994" s="41"/>
    </row>
    <row r="3995" spans="1:1" x14ac:dyDescent="0.6">
      <c r="A3995" s="41"/>
    </row>
    <row r="3996" spans="1:1" x14ac:dyDescent="0.6">
      <c r="A3996" s="41"/>
    </row>
    <row r="3997" spans="1:1" x14ac:dyDescent="0.6">
      <c r="A3997" s="41"/>
    </row>
    <row r="3998" spans="1:1" x14ac:dyDescent="0.6">
      <c r="A3998" s="41"/>
    </row>
    <row r="3999" spans="1:1" x14ac:dyDescent="0.6">
      <c r="A3999" s="41"/>
    </row>
    <row r="4000" spans="1:1" x14ac:dyDescent="0.6">
      <c r="A4000" s="41"/>
    </row>
    <row r="4001" spans="1:1" x14ac:dyDescent="0.6">
      <c r="A4001" s="41"/>
    </row>
    <row r="4002" spans="1:1" x14ac:dyDescent="0.6">
      <c r="A4002" s="41"/>
    </row>
    <row r="4003" spans="1:1" x14ac:dyDescent="0.6">
      <c r="A4003" s="41"/>
    </row>
    <row r="4004" spans="1:1" x14ac:dyDescent="0.6">
      <c r="A4004" s="41"/>
    </row>
    <row r="4005" spans="1:1" x14ac:dyDescent="0.6">
      <c r="A4005" s="41"/>
    </row>
    <row r="4006" spans="1:1" x14ac:dyDescent="0.6">
      <c r="A4006" s="41"/>
    </row>
    <row r="4007" spans="1:1" x14ac:dyDescent="0.6">
      <c r="A4007" s="41"/>
    </row>
    <row r="4008" spans="1:1" x14ac:dyDescent="0.6">
      <c r="A4008" s="41"/>
    </row>
    <row r="4009" spans="1:1" x14ac:dyDescent="0.6">
      <c r="A4009" s="41"/>
    </row>
    <row r="4010" spans="1:1" x14ac:dyDescent="0.6">
      <c r="A4010" s="41"/>
    </row>
    <row r="4011" spans="1:1" x14ac:dyDescent="0.6">
      <c r="A4011" s="41"/>
    </row>
    <row r="4012" spans="1:1" x14ac:dyDescent="0.6">
      <c r="A4012" s="41"/>
    </row>
    <row r="4013" spans="1:1" x14ac:dyDescent="0.6">
      <c r="A4013" s="41"/>
    </row>
    <row r="4014" spans="1:1" x14ac:dyDescent="0.6">
      <c r="A4014" s="41"/>
    </row>
    <row r="4015" spans="1:1" x14ac:dyDescent="0.6">
      <c r="A4015" s="41"/>
    </row>
    <row r="4016" spans="1:1" x14ac:dyDescent="0.6">
      <c r="A4016" s="41"/>
    </row>
    <row r="4017" spans="1:1" x14ac:dyDescent="0.6">
      <c r="A4017" s="41"/>
    </row>
    <row r="4018" spans="1:1" x14ac:dyDescent="0.6">
      <c r="A4018" s="41"/>
    </row>
    <row r="4019" spans="1:1" x14ac:dyDescent="0.6">
      <c r="A4019" s="41"/>
    </row>
    <row r="4020" spans="1:1" x14ac:dyDescent="0.6">
      <c r="A4020" s="41"/>
    </row>
    <row r="4021" spans="1:1" x14ac:dyDescent="0.6">
      <c r="A4021" s="41"/>
    </row>
    <row r="4022" spans="1:1" x14ac:dyDescent="0.6">
      <c r="A4022" s="41"/>
    </row>
    <row r="4023" spans="1:1" x14ac:dyDescent="0.6">
      <c r="A4023" s="41"/>
    </row>
    <row r="4024" spans="1:1" x14ac:dyDescent="0.6">
      <c r="A4024" s="41"/>
    </row>
    <row r="4025" spans="1:1" x14ac:dyDescent="0.6">
      <c r="A4025" s="41"/>
    </row>
    <row r="4026" spans="1:1" x14ac:dyDescent="0.6">
      <c r="A4026" s="41"/>
    </row>
    <row r="4027" spans="1:1" x14ac:dyDescent="0.6">
      <c r="A4027" s="41"/>
    </row>
    <row r="4028" spans="1:1" x14ac:dyDescent="0.6">
      <c r="A4028" s="41"/>
    </row>
    <row r="4029" spans="1:1" x14ac:dyDescent="0.6">
      <c r="A4029" s="41"/>
    </row>
    <row r="4030" spans="1:1" x14ac:dyDescent="0.6">
      <c r="A4030" s="41"/>
    </row>
    <row r="4031" spans="1:1" x14ac:dyDescent="0.6">
      <c r="A4031" s="41"/>
    </row>
    <row r="4032" spans="1:1" x14ac:dyDescent="0.6">
      <c r="A4032" s="41"/>
    </row>
    <row r="4033" spans="1:1" x14ac:dyDescent="0.6">
      <c r="A4033" s="41"/>
    </row>
    <row r="4034" spans="1:1" x14ac:dyDescent="0.6">
      <c r="A4034" s="41"/>
    </row>
    <row r="4035" spans="1:1" x14ac:dyDescent="0.6">
      <c r="A4035" s="41"/>
    </row>
    <row r="4036" spans="1:1" x14ac:dyDescent="0.6">
      <c r="A4036" s="41"/>
    </row>
    <row r="4037" spans="1:1" x14ac:dyDescent="0.6">
      <c r="A4037" s="41"/>
    </row>
    <row r="4038" spans="1:1" x14ac:dyDescent="0.6">
      <c r="A4038" s="41"/>
    </row>
    <row r="4039" spans="1:1" x14ac:dyDescent="0.6">
      <c r="A4039" s="41"/>
    </row>
    <row r="4040" spans="1:1" x14ac:dyDescent="0.6">
      <c r="A4040" s="41"/>
    </row>
    <row r="4041" spans="1:1" x14ac:dyDescent="0.6">
      <c r="A4041" s="41"/>
    </row>
    <row r="4042" spans="1:1" x14ac:dyDescent="0.6">
      <c r="A4042" s="41"/>
    </row>
    <row r="4043" spans="1:1" x14ac:dyDescent="0.6">
      <c r="A4043" s="41"/>
    </row>
    <row r="4044" spans="1:1" x14ac:dyDescent="0.6">
      <c r="A4044" s="41"/>
    </row>
    <row r="4045" spans="1:1" x14ac:dyDescent="0.6">
      <c r="A4045" s="41"/>
    </row>
    <row r="4046" spans="1:1" x14ac:dyDescent="0.6">
      <c r="A4046" s="41"/>
    </row>
    <row r="4047" spans="1:1" x14ac:dyDescent="0.6">
      <c r="A4047" s="41"/>
    </row>
    <row r="4048" spans="1:1" x14ac:dyDescent="0.6">
      <c r="A4048" s="41"/>
    </row>
    <row r="4049" spans="1:1" x14ac:dyDescent="0.6">
      <c r="A4049" s="41"/>
    </row>
    <row r="4050" spans="1:1" x14ac:dyDescent="0.6">
      <c r="A4050" s="41"/>
    </row>
    <row r="4051" spans="1:1" x14ac:dyDescent="0.6">
      <c r="A4051" s="41"/>
    </row>
    <row r="4052" spans="1:1" x14ac:dyDescent="0.6">
      <c r="A4052" s="41"/>
    </row>
    <row r="4053" spans="1:1" x14ac:dyDescent="0.6">
      <c r="A4053" s="41"/>
    </row>
    <row r="4054" spans="1:1" x14ac:dyDescent="0.6">
      <c r="A4054" s="41"/>
    </row>
    <row r="4055" spans="1:1" x14ac:dyDescent="0.6">
      <c r="A4055" s="41"/>
    </row>
    <row r="4056" spans="1:1" x14ac:dyDescent="0.6">
      <c r="A4056" s="41"/>
    </row>
    <row r="4057" spans="1:1" x14ac:dyDescent="0.6">
      <c r="A4057" s="41"/>
    </row>
    <row r="4058" spans="1:1" x14ac:dyDescent="0.6">
      <c r="A4058" s="41"/>
    </row>
    <row r="4059" spans="1:1" x14ac:dyDescent="0.6">
      <c r="A4059" s="41"/>
    </row>
    <row r="4060" spans="1:1" x14ac:dyDescent="0.6">
      <c r="A4060" s="41"/>
    </row>
    <row r="4061" spans="1:1" x14ac:dyDescent="0.6">
      <c r="A4061" s="41"/>
    </row>
    <row r="4062" spans="1:1" x14ac:dyDescent="0.6">
      <c r="A4062" s="41"/>
    </row>
    <row r="4063" spans="1:1" x14ac:dyDescent="0.6">
      <c r="A4063" s="41"/>
    </row>
    <row r="4064" spans="1:1" x14ac:dyDescent="0.6">
      <c r="A4064" s="41"/>
    </row>
    <row r="4065" spans="1:1" x14ac:dyDescent="0.6">
      <c r="A4065" s="41"/>
    </row>
    <row r="4066" spans="1:1" x14ac:dyDescent="0.6">
      <c r="A4066" s="41"/>
    </row>
    <row r="4067" spans="1:1" x14ac:dyDescent="0.6">
      <c r="A4067" s="41"/>
    </row>
    <row r="4068" spans="1:1" x14ac:dyDescent="0.6">
      <c r="A4068" s="41"/>
    </row>
    <row r="4069" spans="1:1" x14ac:dyDescent="0.6">
      <c r="A4069" s="41"/>
    </row>
    <row r="4070" spans="1:1" x14ac:dyDescent="0.6">
      <c r="A4070" s="41"/>
    </row>
    <row r="4071" spans="1:1" x14ac:dyDescent="0.6">
      <c r="A4071" s="41"/>
    </row>
    <row r="4072" spans="1:1" x14ac:dyDescent="0.6">
      <c r="A4072" s="41"/>
    </row>
    <row r="4073" spans="1:1" x14ac:dyDescent="0.6">
      <c r="A4073" s="41"/>
    </row>
    <row r="4074" spans="1:1" x14ac:dyDescent="0.6">
      <c r="A4074" s="41"/>
    </row>
    <row r="4075" spans="1:1" x14ac:dyDescent="0.6">
      <c r="A4075" s="41"/>
    </row>
    <row r="4076" spans="1:1" x14ac:dyDescent="0.6">
      <c r="A4076" s="41"/>
    </row>
    <row r="4077" spans="1:1" x14ac:dyDescent="0.6">
      <c r="A4077" s="41"/>
    </row>
    <row r="4078" spans="1:1" x14ac:dyDescent="0.6">
      <c r="A4078" s="41"/>
    </row>
    <row r="4079" spans="1:1" x14ac:dyDescent="0.6">
      <c r="A4079" s="41"/>
    </row>
    <row r="4080" spans="1:1" x14ac:dyDescent="0.6">
      <c r="A4080" s="41"/>
    </row>
    <row r="4081" spans="1:1" x14ac:dyDescent="0.6">
      <c r="A4081" s="41"/>
    </row>
    <row r="4082" spans="1:1" x14ac:dyDescent="0.6">
      <c r="A4082" s="41"/>
    </row>
    <row r="4083" spans="1:1" x14ac:dyDescent="0.6">
      <c r="A4083" s="41"/>
    </row>
    <row r="4084" spans="1:1" x14ac:dyDescent="0.6">
      <c r="A4084" s="41"/>
    </row>
    <row r="4085" spans="1:1" x14ac:dyDescent="0.6">
      <c r="A4085" s="41"/>
    </row>
    <row r="4086" spans="1:1" x14ac:dyDescent="0.6">
      <c r="A4086" s="41"/>
    </row>
    <row r="4087" spans="1:1" x14ac:dyDescent="0.6">
      <c r="A4087" s="41"/>
    </row>
    <row r="4088" spans="1:1" x14ac:dyDescent="0.6">
      <c r="A4088" s="41"/>
    </row>
    <row r="4089" spans="1:1" x14ac:dyDescent="0.6">
      <c r="A4089" s="41"/>
    </row>
    <row r="4090" spans="1:1" x14ac:dyDescent="0.6">
      <c r="A4090" s="41"/>
    </row>
    <row r="4091" spans="1:1" x14ac:dyDescent="0.6">
      <c r="A4091" s="41"/>
    </row>
    <row r="4092" spans="1:1" x14ac:dyDescent="0.6">
      <c r="A4092" s="41"/>
    </row>
    <row r="4093" spans="1:1" x14ac:dyDescent="0.6">
      <c r="A4093" s="41"/>
    </row>
    <row r="4094" spans="1:1" x14ac:dyDescent="0.6">
      <c r="A4094" s="41"/>
    </row>
    <row r="4095" spans="1:1" x14ac:dyDescent="0.6">
      <c r="A4095" s="41"/>
    </row>
    <row r="4096" spans="1:1" x14ac:dyDescent="0.6">
      <c r="A4096" s="41"/>
    </row>
    <row r="4097" spans="1:1" x14ac:dyDescent="0.6">
      <c r="A4097" s="41"/>
    </row>
    <row r="4098" spans="1:1" x14ac:dyDescent="0.6">
      <c r="A4098" s="41"/>
    </row>
    <row r="4099" spans="1:1" x14ac:dyDescent="0.6">
      <c r="A4099" s="41"/>
    </row>
    <row r="4100" spans="1:1" x14ac:dyDescent="0.6">
      <c r="A4100" s="41"/>
    </row>
    <row r="4101" spans="1:1" x14ac:dyDescent="0.6">
      <c r="A4101" s="41"/>
    </row>
    <row r="4102" spans="1:1" x14ac:dyDescent="0.6">
      <c r="A4102" s="41"/>
    </row>
    <row r="4103" spans="1:1" x14ac:dyDescent="0.6">
      <c r="A4103" s="41"/>
    </row>
    <row r="4104" spans="1:1" x14ac:dyDescent="0.6">
      <c r="A4104" s="41"/>
    </row>
    <row r="4105" spans="1:1" x14ac:dyDescent="0.6">
      <c r="A4105" s="41"/>
    </row>
    <row r="4106" spans="1:1" x14ac:dyDescent="0.6">
      <c r="A4106" s="41"/>
    </row>
    <row r="4107" spans="1:1" x14ac:dyDescent="0.6">
      <c r="A4107" s="41"/>
    </row>
    <row r="4108" spans="1:1" x14ac:dyDescent="0.6">
      <c r="A4108" s="41"/>
    </row>
    <row r="4109" spans="1:1" x14ac:dyDescent="0.6">
      <c r="A4109" s="41"/>
    </row>
    <row r="4110" spans="1:1" x14ac:dyDescent="0.6">
      <c r="A4110" s="41"/>
    </row>
    <row r="4111" spans="1:1" x14ac:dyDescent="0.6">
      <c r="A4111" s="41"/>
    </row>
    <row r="4112" spans="1:1" x14ac:dyDescent="0.6">
      <c r="A4112" s="41"/>
    </row>
    <row r="4113" spans="1:1" x14ac:dyDescent="0.6">
      <c r="A4113" s="41"/>
    </row>
    <row r="4114" spans="1:1" x14ac:dyDescent="0.6">
      <c r="A4114" s="41"/>
    </row>
    <row r="4115" spans="1:1" x14ac:dyDescent="0.6">
      <c r="A4115" s="41"/>
    </row>
    <row r="4116" spans="1:1" x14ac:dyDescent="0.6">
      <c r="A4116" s="41"/>
    </row>
    <row r="4117" spans="1:1" x14ac:dyDescent="0.6">
      <c r="A4117" s="41"/>
    </row>
    <row r="4118" spans="1:1" x14ac:dyDescent="0.6">
      <c r="A4118" s="41"/>
    </row>
    <row r="4119" spans="1:1" x14ac:dyDescent="0.6">
      <c r="A4119" s="41"/>
    </row>
    <row r="4120" spans="1:1" x14ac:dyDescent="0.6">
      <c r="A4120" s="41"/>
    </row>
    <row r="4121" spans="1:1" x14ac:dyDescent="0.6">
      <c r="A4121" s="41"/>
    </row>
    <row r="4122" spans="1:1" x14ac:dyDescent="0.6">
      <c r="A4122" s="41"/>
    </row>
    <row r="4123" spans="1:1" x14ac:dyDescent="0.6">
      <c r="A4123" s="41"/>
    </row>
    <row r="4124" spans="1:1" x14ac:dyDescent="0.6">
      <c r="A4124" s="41"/>
    </row>
    <row r="4125" spans="1:1" x14ac:dyDescent="0.6">
      <c r="A4125" s="41"/>
    </row>
    <row r="4126" spans="1:1" x14ac:dyDescent="0.6">
      <c r="A4126" s="41"/>
    </row>
    <row r="4127" spans="1:1" x14ac:dyDescent="0.6">
      <c r="A4127" s="41"/>
    </row>
    <row r="4128" spans="1:1" x14ac:dyDescent="0.6">
      <c r="A4128" s="41"/>
    </row>
    <row r="4129" spans="1:1" x14ac:dyDescent="0.6">
      <c r="A4129" s="41"/>
    </row>
    <row r="4130" spans="1:1" x14ac:dyDescent="0.6">
      <c r="A4130" s="41"/>
    </row>
    <row r="4131" spans="1:1" x14ac:dyDescent="0.6">
      <c r="A4131" s="41"/>
    </row>
    <row r="4132" spans="1:1" x14ac:dyDescent="0.6">
      <c r="A4132" s="41"/>
    </row>
    <row r="4133" spans="1:1" x14ac:dyDescent="0.6">
      <c r="A4133" s="41"/>
    </row>
    <row r="4134" spans="1:1" x14ac:dyDescent="0.6">
      <c r="A4134" s="41"/>
    </row>
    <row r="4135" spans="1:1" x14ac:dyDescent="0.6">
      <c r="A4135" s="41"/>
    </row>
    <row r="4136" spans="1:1" x14ac:dyDescent="0.6">
      <c r="A4136" s="41"/>
    </row>
    <row r="4137" spans="1:1" x14ac:dyDescent="0.6">
      <c r="A4137" s="41"/>
    </row>
    <row r="4138" spans="1:1" x14ac:dyDescent="0.6">
      <c r="A4138" s="41"/>
    </row>
    <row r="4139" spans="1:1" x14ac:dyDescent="0.6">
      <c r="A4139" s="41"/>
    </row>
    <row r="4140" spans="1:1" x14ac:dyDescent="0.6">
      <c r="A4140" s="41"/>
    </row>
    <row r="4141" spans="1:1" x14ac:dyDescent="0.6">
      <c r="A4141" s="41"/>
    </row>
    <row r="4142" spans="1:1" x14ac:dyDescent="0.6">
      <c r="A4142" s="41"/>
    </row>
    <row r="4143" spans="1:1" x14ac:dyDescent="0.6">
      <c r="A4143" s="41"/>
    </row>
    <row r="4144" spans="1:1" x14ac:dyDescent="0.6">
      <c r="A4144" s="41"/>
    </row>
    <row r="4145" spans="1:1" x14ac:dyDescent="0.6">
      <c r="A4145" s="41"/>
    </row>
    <row r="4146" spans="1:1" x14ac:dyDescent="0.6">
      <c r="A4146" s="41"/>
    </row>
    <row r="4147" spans="1:1" x14ac:dyDescent="0.6">
      <c r="A4147" s="41"/>
    </row>
    <row r="4148" spans="1:1" x14ac:dyDescent="0.6">
      <c r="A4148" s="41"/>
    </row>
    <row r="4149" spans="1:1" x14ac:dyDescent="0.6">
      <c r="A4149" s="41"/>
    </row>
    <row r="4150" spans="1:1" x14ac:dyDescent="0.6">
      <c r="A4150" s="41"/>
    </row>
    <row r="4151" spans="1:1" x14ac:dyDescent="0.6">
      <c r="A4151" s="41"/>
    </row>
    <row r="4152" spans="1:1" x14ac:dyDescent="0.6">
      <c r="A4152" s="41"/>
    </row>
    <row r="4153" spans="1:1" x14ac:dyDescent="0.6">
      <c r="A4153" s="41"/>
    </row>
    <row r="4154" spans="1:1" x14ac:dyDescent="0.6">
      <c r="A4154" s="41"/>
    </row>
    <row r="4155" spans="1:1" x14ac:dyDescent="0.6">
      <c r="A4155" s="41"/>
    </row>
    <row r="4156" spans="1:1" x14ac:dyDescent="0.6">
      <c r="A4156" s="41"/>
    </row>
    <row r="4157" spans="1:1" x14ac:dyDescent="0.6">
      <c r="A4157" s="41"/>
    </row>
    <row r="4158" spans="1:1" x14ac:dyDescent="0.6">
      <c r="A4158" s="41"/>
    </row>
    <row r="4159" spans="1:1" x14ac:dyDescent="0.6">
      <c r="A4159" s="41"/>
    </row>
    <row r="4160" spans="1:1" x14ac:dyDescent="0.6">
      <c r="A4160" s="41"/>
    </row>
    <row r="4161" spans="1:1" x14ac:dyDescent="0.6">
      <c r="A4161" s="41"/>
    </row>
    <row r="4162" spans="1:1" x14ac:dyDescent="0.6">
      <c r="A4162" s="41"/>
    </row>
    <row r="4163" spans="1:1" x14ac:dyDescent="0.6">
      <c r="A4163" s="41"/>
    </row>
    <row r="4164" spans="1:1" x14ac:dyDescent="0.6">
      <c r="A4164" s="41"/>
    </row>
    <row r="4165" spans="1:1" x14ac:dyDescent="0.6">
      <c r="A4165" s="41"/>
    </row>
    <row r="4166" spans="1:1" x14ac:dyDescent="0.6">
      <c r="A4166" s="41"/>
    </row>
    <row r="4167" spans="1:1" x14ac:dyDescent="0.6">
      <c r="A4167" s="41"/>
    </row>
    <row r="4168" spans="1:1" x14ac:dyDescent="0.6">
      <c r="A4168" s="41"/>
    </row>
    <row r="4169" spans="1:1" x14ac:dyDescent="0.6">
      <c r="A4169" s="41"/>
    </row>
    <row r="4170" spans="1:1" x14ac:dyDescent="0.6">
      <c r="A4170" s="41"/>
    </row>
    <row r="4171" spans="1:1" x14ac:dyDescent="0.6">
      <c r="A4171" s="41"/>
    </row>
    <row r="4172" spans="1:1" x14ac:dyDescent="0.6">
      <c r="A4172" s="41"/>
    </row>
    <row r="4173" spans="1:1" x14ac:dyDescent="0.6">
      <c r="A4173" s="41"/>
    </row>
    <row r="4174" spans="1:1" x14ac:dyDescent="0.6">
      <c r="A4174" s="41"/>
    </row>
    <row r="4175" spans="1:1" x14ac:dyDescent="0.6">
      <c r="A4175" s="41"/>
    </row>
    <row r="4176" spans="1:1" x14ac:dyDescent="0.6">
      <c r="A4176" s="41"/>
    </row>
    <row r="4177" spans="1:1" x14ac:dyDescent="0.6">
      <c r="A4177" s="41"/>
    </row>
    <row r="4178" spans="1:1" x14ac:dyDescent="0.6">
      <c r="A4178" s="41"/>
    </row>
    <row r="4179" spans="1:1" x14ac:dyDescent="0.6">
      <c r="A4179" s="41"/>
    </row>
    <row r="4180" spans="1:1" x14ac:dyDescent="0.6">
      <c r="A4180" s="41"/>
    </row>
    <row r="4181" spans="1:1" x14ac:dyDescent="0.6">
      <c r="A4181" s="41"/>
    </row>
    <row r="4182" spans="1:1" x14ac:dyDescent="0.6">
      <c r="A4182" s="41"/>
    </row>
    <row r="4183" spans="1:1" x14ac:dyDescent="0.6">
      <c r="A4183" s="41"/>
    </row>
    <row r="4184" spans="1:1" x14ac:dyDescent="0.6">
      <c r="A4184" s="41"/>
    </row>
    <row r="4185" spans="1:1" x14ac:dyDescent="0.6">
      <c r="A4185" s="41"/>
    </row>
    <row r="4186" spans="1:1" x14ac:dyDescent="0.6">
      <c r="A4186" s="41"/>
    </row>
    <row r="4187" spans="1:1" x14ac:dyDescent="0.6">
      <c r="A4187" s="41"/>
    </row>
    <row r="4188" spans="1:1" x14ac:dyDescent="0.6">
      <c r="A4188" s="41"/>
    </row>
    <row r="4189" spans="1:1" x14ac:dyDescent="0.6">
      <c r="A4189" s="41"/>
    </row>
    <row r="4190" spans="1:1" x14ac:dyDescent="0.6">
      <c r="A4190" s="41"/>
    </row>
    <row r="4191" spans="1:1" x14ac:dyDescent="0.6">
      <c r="A4191" s="41"/>
    </row>
    <row r="4192" spans="1:1" x14ac:dyDescent="0.6">
      <c r="A4192" s="41"/>
    </row>
    <row r="4193" spans="1:1" x14ac:dyDescent="0.6">
      <c r="A4193" s="41"/>
    </row>
    <row r="4194" spans="1:1" x14ac:dyDescent="0.6">
      <c r="A4194" s="41"/>
    </row>
    <row r="4195" spans="1:1" x14ac:dyDescent="0.6">
      <c r="A4195" s="41"/>
    </row>
    <row r="4196" spans="1:1" x14ac:dyDescent="0.6">
      <c r="A4196" s="41"/>
    </row>
    <row r="4197" spans="1:1" x14ac:dyDescent="0.6">
      <c r="A4197" s="41"/>
    </row>
    <row r="4198" spans="1:1" x14ac:dyDescent="0.6">
      <c r="A4198" s="41"/>
    </row>
    <row r="4199" spans="1:1" x14ac:dyDescent="0.6">
      <c r="A4199" s="41"/>
    </row>
    <row r="4200" spans="1:1" x14ac:dyDescent="0.6">
      <c r="A4200" s="41"/>
    </row>
    <row r="4201" spans="1:1" x14ac:dyDescent="0.6">
      <c r="A4201" s="41"/>
    </row>
    <row r="4202" spans="1:1" x14ac:dyDescent="0.6">
      <c r="A4202" s="41"/>
    </row>
    <row r="4203" spans="1:1" x14ac:dyDescent="0.6">
      <c r="A4203" s="41"/>
    </row>
    <row r="4204" spans="1:1" x14ac:dyDescent="0.6">
      <c r="A4204" s="41"/>
    </row>
    <row r="4205" spans="1:1" x14ac:dyDescent="0.6">
      <c r="A4205" s="41"/>
    </row>
    <row r="4206" spans="1:1" x14ac:dyDescent="0.6">
      <c r="A4206" s="41"/>
    </row>
    <row r="4207" spans="1:1" x14ac:dyDescent="0.6">
      <c r="A4207" s="41"/>
    </row>
    <row r="4208" spans="1:1" x14ac:dyDescent="0.6">
      <c r="A4208" s="41"/>
    </row>
    <row r="4209" spans="1:1" x14ac:dyDescent="0.6">
      <c r="A4209" s="41"/>
    </row>
    <row r="4210" spans="1:1" x14ac:dyDescent="0.6">
      <c r="A4210" s="41"/>
    </row>
    <row r="4211" spans="1:1" x14ac:dyDescent="0.6">
      <c r="A4211" s="41"/>
    </row>
    <row r="4212" spans="1:1" x14ac:dyDescent="0.6">
      <c r="A4212" s="41"/>
    </row>
    <row r="4213" spans="1:1" x14ac:dyDescent="0.6">
      <c r="A4213" s="41"/>
    </row>
    <row r="4214" spans="1:1" x14ac:dyDescent="0.6">
      <c r="A4214" s="41"/>
    </row>
    <row r="4215" spans="1:1" x14ac:dyDescent="0.6">
      <c r="A4215" s="41"/>
    </row>
    <row r="4216" spans="1:1" x14ac:dyDescent="0.6">
      <c r="A4216" s="41"/>
    </row>
    <row r="4217" spans="1:1" x14ac:dyDescent="0.6">
      <c r="A4217" s="41"/>
    </row>
    <row r="4218" spans="1:1" x14ac:dyDescent="0.6">
      <c r="A4218" s="41"/>
    </row>
    <row r="4219" spans="1:1" x14ac:dyDescent="0.6">
      <c r="A4219" s="41"/>
    </row>
    <row r="4220" spans="1:1" x14ac:dyDescent="0.6">
      <c r="A4220" s="41"/>
    </row>
    <row r="4221" spans="1:1" x14ac:dyDescent="0.6">
      <c r="A4221" s="41"/>
    </row>
    <row r="4222" spans="1:1" x14ac:dyDescent="0.6">
      <c r="A4222" s="41"/>
    </row>
    <row r="4223" spans="1:1" x14ac:dyDescent="0.6">
      <c r="A4223" s="41"/>
    </row>
    <row r="4224" spans="1:1" x14ac:dyDescent="0.6">
      <c r="A4224" s="41"/>
    </row>
    <row r="4225" spans="1:1" x14ac:dyDescent="0.6">
      <c r="A4225" s="41"/>
    </row>
    <row r="4226" spans="1:1" x14ac:dyDescent="0.6">
      <c r="A4226" s="41"/>
    </row>
    <row r="4227" spans="1:1" x14ac:dyDescent="0.6">
      <c r="A4227" s="41"/>
    </row>
    <row r="4228" spans="1:1" x14ac:dyDescent="0.6">
      <c r="A4228" s="41"/>
    </row>
    <row r="4229" spans="1:1" x14ac:dyDescent="0.6">
      <c r="A4229" s="41"/>
    </row>
    <row r="4230" spans="1:1" x14ac:dyDescent="0.6">
      <c r="A4230" s="41"/>
    </row>
    <row r="4231" spans="1:1" x14ac:dyDescent="0.6">
      <c r="A4231" s="41"/>
    </row>
    <row r="4232" spans="1:1" x14ac:dyDescent="0.6">
      <c r="A4232" s="41"/>
    </row>
    <row r="4233" spans="1:1" x14ac:dyDescent="0.6">
      <c r="A4233" s="41"/>
    </row>
    <row r="4234" spans="1:1" x14ac:dyDescent="0.6">
      <c r="A4234" s="41"/>
    </row>
    <row r="4235" spans="1:1" x14ac:dyDescent="0.6">
      <c r="A4235" s="41"/>
    </row>
    <row r="4236" spans="1:1" x14ac:dyDescent="0.6">
      <c r="A4236" s="41"/>
    </row>
    <row r="4237" spans="1:1" x14ac:dyDescent="0.6">
      <c r="A4237" s="41"/>
    </row>
    <row r="4238" spans="1:1" x14ac:dyDescent="0.6">
      <c r="A4238" s="41"/>
    </row>
    <row r="4239" spans="1:1" x14ac:dyDescent="0.6">
      <c r="A4239" s="41"/>
    </row>
    <row r="4240" spans="1:1" x14ac:dyDescent="0.6">
      <c r="A4240" s="41"/>
    </row>
    <row r="4241" spans="1:1" x14ac:dyDescent="0.6">
      <c r="A4241" s="41"/>
    </row>
    <row r="4242" spans="1:1" x14ac:dyDescent="0.6">
      <c r="A4242" s="41"/>
    </row>
    <row r="4243" spans="1:1" x14ac:dyDescent="0.6">
      <c r="A4243" s="41"/>
    </row>
    <row r="4244" spans="1:1" x14ac:dyDescent="0.6">
      <c r="A4244" s="41"/>
    </row>
    <row r="4245" spans="1:1" x14ac:dyDescent="0.6">
      <c r="A4245" s="41"/>
    </row>
    <row r="4246" spans="1:1" x14ac:dyDescent="0.6">
      <c r="A4246" s="41"/>
    </row>
    <row r="4247" spans="1:1" x14ac:dyDescent="0.6">
      <c r="A4247" s="41"/>
    </row>
    <row r="4248" spans="1:1" x14ac:dyDescent="0.6">
      <c r="A4248" s="41"/>
    </row>
    <row r="4249" spans="1:1" x14ac:dyDescent="0.6">
      <c r="A4249" s="41"/>
    </row>
    <row r="4250" spans="1:1" x14ac:dyDescent="0.6">
      <c r="A4250" s="41"/>
    </row>
    <row r="4251" spans="1:1" x14ac:dyDescent="0.6">
      <c r="A4251" s="41"/>
    </row>
    <row r="4252" spans="1:1" x14ac:dyDescent="0.6">
      <c r="A4252" s="41"/>
    </row>
    <row r="4253" spans="1:1" x14ac:dyDescent="0.6">
      <c r="A4253" s="41"/>
    </row>
    <row r="4254" spans="1:1" x14ac:dyDescent="0.6">
      <c r="A4254" s="41"/>
    </row>
    <row r="4255" spans="1:1" x14ac:dyDescent="0.6">
      <c r="A4255" s="41"/>
    </row>
    <row r="4256" spans="1:1" x14ac:dyDescent="0.6">
      <c r="A4256" s="41"/>
    </row>
    <row r="4257" spans="1:1" x14ac:dyDescent="0.6">
      <c r="A4257" s="41"/>
    </row>
    <row r="4258" spans="1:1" x14ac:dyDescent="0.6">
      <c r="A4258" s="41"/>
    </row>
    <row r="4259" spans="1:1" x14ac:dyDescent="0.6">
      <c r="A4259" s="41"/>
    </row>
    <row r="4260" spans="1:1" x14ac:dyDescent="0.6">
      <c r="A4260" s="41"/>
    </row>
    <row r="4261" spans="1:1" x14ac:dyDescent="0.6">
      <c r="A4261" s="41"/>
    </row>
    <row r="4262" spans="1:1" x14ac:dyDescent="0.6">
      <c r="A4262" s="41"/>
    </row>
    <row r="4263" spans="1:1" x14ac:dyDescent="0.6">
      <c r="A4263" s="41"/>
    </row>
    <row r="4264" spans="1:1" x14ac:dyDescent="0.6">
      <c r="A4264" s="41"/>
    </row>
    <row r="4265" spans="1:1" x14ac:dyDescent="0.6">
      <c r="A4265" s="41"/>
    </row>
    <row r="4266" spans="1:1" x14ac:dyDescent="0.6">
      <c r="A4266" s="41"/>
    </row>
    <row r="4267" spans="1:1" x14ac:dyDescent="0.6">
      <c r="A4267" s="41"/>
    </row>
    <row r="4268" spans="1:1" x14ac:dyDescent="0.6">
      <c r="A4268" s="41"/>
    </row>
    <row r="4269" spans="1:1" x14ac:dyDescent="0.6">
      <c r="A4269" s="41"/>
    </row>
    <row r="4270" spans="1:1" x14ac:dyDescent="0.6">
      <c r="A4270" s="41"/>
    </row>
    <row r="4271" spans="1:1" x14ac:dyDescent="0.6">
      <c r="A4271" s="41"/>
    </row>
    <row r="4272" spans="1:1" x14ac:dyDescent="0.6">
      <c r="A4272" s="41"/>
    </row>
    <row r="4273" spans="1:1" x14ac:dyDescent="0.6">
      <c r="A4273" s="41"/>
    </row>
    <row r="4274" spans="1:1" x14ac:dyDescent="0.6">
      <c r="A4274" s="41"/>
    </row>
    <row r="4275" spans="1:1" x14ac:dyDescent="0.6">
      <c r="A4275" s="41"/>
    </row>
    <row r="4276" spans="1:1" x14ac:dyDescent="0.6">
      <c r="A4276" s="41"/>
    </row>
    <row r="4277" spans="1:1" x14ac:dyDescent="0.6">
      <c r="A4277" s="41"/>
    </row>
    <row r="4278" spans="1:1" x14ac:dyDescent="0.6">
      <c r="A4278" s="41"/>
    </row>
    <row r="4279" spans="1:1" x14ac:dyDescent="0.6">
      <c r="A4279" s="41"/>
    </row>
    <row r="4280" spans="1:1" x14ac:dyDescent="0.6">
      <c r="A4280" s="41"/>
    </row>
    <row r="4281" spans="1:1" x14ac:dyDescent="0.6">
      <c r="A4281" s="41"/>
    </row>
    <row r="4282" spans="1:1" x14ac:dyDescent="0.6">
      <c r="A4282" s="41"/>
    </row>
    <row r="4283" spans="1:1" x14ac:dyDescent="0.6">
      <c r="A4283" s="41"/>
    </row>
    <row r="4284" spans="1:1" x14ac:dyDescent="0.6">
      <c r="A4284" s="41"/>
    </row>
    <row r="4285" spans="1:1" x14ac:dyDescent="0.6">
      <c r="A4285" s="41"/>
    </row>
    <row r="4286" spans="1:1" x14ac:dyDescent="0.6">
      <c r="A4286" s="41"/>
    </row>
    <row r="4287" spans="1:1" x14ac:dyDescent="0.6">
      <c r="A4287" s="41"/>
    </row>
    <row r="4288" spans="1:1" x14ac:dyDescent="0.6">
      <c r="A4288" s="41"/>
    </row>
    <row r="4289" spans="1:1" x14ac:dyDescent="0.6">
      <c r="A4289" s="41"/>
    </row>
    <row r="4290" spans="1:1" x14ac:dyDescent="0.6">
      <c r="A4290" s="41"/>
    </row>
    <row r="4291" spans="1:1" x14ac:dyDescent="0.6">
      <c r="A4291" s="41"/>
    </row>
    <row r="4292" spans="1:1" x14ac:dyDescent="0.6">
      <c r="A4292" s="41"/>
    </row>
    <row r="4293" spans="1:1" x14ac:dyDescent="0.6">
      <c r="A4293" s="41"/>
    </row>
    <row r="4294" spans="1:1" x14ac:dyDescent="0.6">
      <c r="A4294" s="41"/>
    </row>
    <row r="4295" spans="1:1" x14ac:dyDescent="0.6">
      <c r="A4295" s="41"/>
    </row>
    <row r="4296" spans="1:1" x14ac:dyDescent="0.6">
      <c r="A4296" s="41"/>
    </row>
    <row r="4297" spans="1:1" x14ac:dyDescent="0.6">
      <c r="A4297" s="41"/>
    </row>
    <row r="4298" spans="1:1" x14ac:dyDescent="0.6">
      <c r="A4298" s="41"/>
    </row>
    <row r="4299" spans="1:1" x14ac:dyDescent="0.6">
      <c r="A4299" s="41"/>
    </row>
    <row r="4300" spans="1:1" x14ac:dyDescent="0.6">
      <c r="A4300" s="41"/>
    </row>
    <row r="4301" spans="1:1" x14ac:dyDescent="0.6">
      <c r="A4301" s="41"/>
    </row>
    <row r="4302" spans="1:1" x14ac:dyDescent="0.6">
      <c r="A4302" s="41"/>
    </row>
    <row r="4303" spans="1:1" x14ac:dyDescent="0.6">
      <c r="A4303" s="41"/>
    </row>
    <row r="4304" spans="1:1" x14ac:dyDescent="0.6">
      <c r="A4304" s="41"/>
    </row>
    <row r="4305" spans="1:1" x14ac:dyDescent="0.6">
      <c r="A4305" s="41"/>
    </row>
    <row r="4306" spans="1:1" x14ac:dyDescent="0.6">
      <c r="A4306" s="41"/>
    </row>
    <row r="4307" spans="1:1" x14ac:dyDescent="0.6">
      <c r="A4307" s="41"/>
    </row>
    <row r="4308" spans="1:1" x14ac:dyDescent="0.6">
      <c r="A4308" s="41"/>
    </row>
    <row r="4309" spans="1:1" x14ac:dyDescent="0.6">
      <c r="A4309" s="41"/>
    </row>
    <row r="4310" spans="1:1" x14ac:dyDescent="0.6">
      <c r="A4310" s="41"/>
    </row>
    <row r="4311" spans="1:1" x14ac:dyDescent="0.6">
      <c r="A4311" s="41"/>
    </row>
    <row r="4312" spans="1:1" x14ac:dyDescent="0.6">
      <c r="A4312" s="41"/>
    </row>
    <row r="4313" spans="1:1" x14ac:dyDescent="0.6">
      <c r="A4313" s="41"/>
    </row>
    <row r="4314" spans="1:1" x14ac:dyDescent="0.6">
      <c r="A4314" s="41"/>
    </row>
    <row r="4315" spans="1:1" x14ac:dyDescent="0.6">
      <c r="A4315" s="41"/>
    </row>
    <row r="4316" spans="1:1" x14ac:dyDescent="0.6">
      <c r="A4316" s="41"/>
    </row>
    <row r="4317" spans="1:1" x14ac:dyDescent="0.6">
      <c r="A4317" s="41"/>
    </row>
    <row r="4318" spans="1:1" x14ac:dyDescent="0.6">
      <c r="A4318" s="41"/>
    </row>
    <row r="4319" spans="1:1" x14ac:dyDescent="0.6">
      <c r="A4319" s="41"/>
    </row>
    <row r="4320" spans="1:1" x14ac:dyDescent="0.6">
      <c r="A4320" s="41"/>
    </row>
    <row r="4321" spans="1:1" x14ac:dyDescent="0.6">
      <c r="A4321" s="41"/>
    </row>
    <row r="4322" spans="1:1" x14ac:dyDescent="0.6">
      <c r="A4322" s="41"/>
    </row>
    <row r="4323" spans="1:1" x14ac:dyDescent="0.6">
      <c r="A4323" s="41"/>
    </row>
    <row r="4324" spans="1:1" x14ac:dyDescent="0.6">
      <c r="A4324" s="41"/>
    </row>
    <row r="4325" spans="1:1" x14ac:dyDescent="0.6">
      <c r="A4325" s="41"/>
    </row>
    <row r="4326" spans="1:1" x14ac:dyDescent="0.6">
      <c r="A4326" s="41"/>
    </row>
    <row r="4327" spans="1:1" x14ac:dyDescent="0.6">
      <c r="A4327" s="41"/>
    </row>
    <row r="4328" spans="1:1" x14ac:dyDescent="0.6">
      <c r="A4328" s="41"/>
    </row>
    <row r="4329" spans="1:1" x14ac:dyDescent="0.6">
      <c r="A4329" s="41"/>
    </row>
    <row r="4330" spans="1:1" x14ac:dyDescent="0.6">
      <c r="A4330" s="41"/>
    </row>
    <row r="4331" spans="1:1" x14ac:dyDescent="0.6">
      <c r="A4331" s="41"/>
    </row>
    <row r="4332" spans="1:1" x14ac:dyDescent="0.6">
      <c r="A4332" s="41"/>
    </row>
    <row r="4333" spans="1:1" x14ac:dyDescent="0.6">
      <c r="A4333" s="41"/>
    </row>
    <row r="4334" spans="1:1" x14ac:dyDescent="0.6">
      <c r="A4334" s="41"/>
    </row>
    <row r="4335" spans="1:1" x14ac:dyDescent="0.6">
      <c r="A4335" s="41"/>
    </row>
    <row r="4336" spans="1:1" x14ac:dyDescent="0.6">
      <c r="A4336" s="41"/>
    </row>
    <row r="4337" spans="1:1" x14ac:dyDescent="0.6">
      <c r="A4337" s="41"/>
    </row>
    <row r="4338" spans="1:1" x14ac:dyDescent="0.6">
      <c r="A4338" s="41"/>
    </row>
    <row r="4339" spans="1:1" x14ac:dyDescent="0.6">
      <c r="A4339" s="41"/>
    </row>
    <row r="4340" spans="1:1" x14ac:dyDescent="0.6">
      <c r="A4340" s="41"/>
    </row>
    <row r="4341" spans="1:1" x14ac:dyDescent="0.6">
      <c r="A4341" s="41"/>
    </row>
    <row r="4342" spans="1:1" x14ac:dyDescent="0.6">
      <c r="A4342" s="41"/>
    </row>
    <row r="4343" spans="1:1" x14ac:dyDescent="0.6">
      <c r="A4343" s="41"/>
    </row>
    <row r="4344" spans="1:1" x14ac:dyDescent="0.6">
      <c r="A4344" s="41"/>
    </row>
    <row r="4345" spans="1:1" x14ac:dyDescent="0.6">
      <c r="A4345" s="41"/>
    </row>
    <row r="4346" spans="1:1" x14ac:dyDescent="0.6">
      <c r="A4346" s="41"/>
    </row>
    <row r="4347" spans="1:1" x14ac:dyDescent="0.6">
      <c r="A4347" s="41"/>
    </row>
    <row r="4348" spans="1:1" x14ac:dyDescent="0.6">
      <c r="A4348" s="41"/>
    </row>
    <row r="4349" spans="1:1" x14ac:dyDescent="0.6">
      <c r="A4349" s="41"/>
    </row>
    <row r="4350" spans="1:1" x14ac:dyDescent="0.6">
      <c r="A4350" s="41"/>
    </row>
    <row r="4351" spans="1:1" x14ac:dyDescent="0.6">
      <c r="A4351" s="41"/>
    </row>
    <row r="4352" spans="1:1" x14ac:dyDescent="0.6">
      <c r="A4352" s="41"/>
    </row>
    <row r="4353" spans="1:1" x14ac:dyDescent="0.6">
      <c r="A4353" s="41"/>
    </row>
    <row r="4354" spans="1:1" x14ac:dyDescent="0.6">
      <c r="A4354" s="41"/>
    </row>
    <row r="4355" spans="1:1" x14ac:dyDescent="0.6">
      <c r="A4355" s="41"/>
    </row>
    <row r="4356" spans="1:1" x14ac:dyDescent="0.6">
      <c r="A4356" s="41"/>
    </row>
    <row r="4357" spans="1:1" x14ac:dyDescent="0.6">
      <c r="A4357" s="41"/>
    </row>
    <row r="4358" spans="1:1" x14ac:dyDescent="0.6">
      <c r="A4358" s="41"/>
    </row>
    <row r="4359" spans="1:1" x14ac:dyDescent="0.6">
      <c r="A4359" s="41"/>
    </row>
    <row r="4360" spans="1:1" x14ac:dyDescent="0.6">
      <c r="A4360" s="41"/>
    </row>
    <row r="4361" spans="1:1" x14ac:dyDescent="0.6">
      <c r="A4361" s="41"/>
    </row>
    <row r="4362" spans="1:1" x14ac:dyDescent="0.6">
      <c r="A4362" s="41"/>
    </row>
    <row r="4363" spans="1:1" x14ac:dyDescent="0.6">
      <c r="A4363" s="41"/>
    </row>
    <row r="4364" spans="1:1" x14ac:dyDescent="0.6">
      <c r="A4364" s="41"/>
    </row>
    <row r="4365" spans="1:1" x14ac:dyDescent="0.6">
      <c r="A4365" s="41"/>
    </row>
    <row r="4366" spans="1:1" x14ac:dyDescent="0.6">
      <c r="A4366" s="41"/>
    </row>
    <row r="4367" spans="1:1" x14ac:dyDescent="0.6">
      <c r="A4367" s="41"/>
    </row>
    <row r="4368" spans="1:1" x14ac:dyDescent="0.6">
      <c r="A4368" s="41"/>
    </row>
    <row r="4369" spans="1:1" x14ac:dyDescent="0.6">
      <c r="A4369" s="41"/>
    </row>
    <row r="4370" spans="1:1" x14ac:dyDescent="0.6">
      <c r="A4370" s="41"/>
    </row>
    <row r="4371" spans="1:1" x14ac:dyDescent="0.6">
      <c r="A4371" s="41"/>
    </row>
    <row r="4372" spans="1:1" x14ac:dyDescent="0.6">
      <c r="A4372" s="41"/>
    </row>
    <row r="4373" spans="1:1" x14ac:dyDescent="0.6">
      <c r="A4373" s="41"/>
    </row>
    <row r="4374" spans="1:1" x14ac:dyDescent="0.6">
      <c r="A4374" s="41"/>
    </row>
    <row r="4375" spans="1:1" x14ac:dyDescent="0.6">
      <c r="A4375" s="41"/>
    </row>
    <row r="4376" spans="1:1" x14ac:dyDescent="0.6">
      <c r="A4376" s="41"/>
    </row>
    <row r="4377" spans="1:1" x14ac:dyDescent="0.6">
      <c r="A4377" s="41"/>
    </row>
    <row r="4378" spans="1:1" x14ac:dyDescent="0.6">
      <c r="A4378" s="41"/>
    </row>
    <row r="4379" spans="1:1" x14ac:dyDescent="0.6">
      <c r="A4379" s="41"/>
    </row>
    <row r="4380" spans="1:1" x14ac:dyDescent="0.6">
      <c r="A4380" s="41"/>
    </row>
    <row r="4381" spans="1:1" x14ac:dyDescent="0.6">
      <c r="A4381" s="41"/>
    </row>
    <row r="4382" spans="1:1" x14ac:dyDescent="0.6">
      <c r="A4382" s="41"/>
    </row>
    <row r="4383" spans="1:1" x14ac:dyDescent="0.6">
      <c r="A4383" s="41"/>
    </row>
    <row r="4384" spans="1:1" x14ac:dyDescent="0.6">
      <c r="A4384" s="41"/>
    </row>
    <row r="4385" spans="1:1" x14ac:dyDescent="0.6">
      <c r="A4385" s="41"/>
    </row>
    <row r="4386" spans="1:1" x14ac:dyDescent="0.6">
      <c r="A4386" s="41"/>
    </row>
    <row r="4387" spans="1:1" x14ac:dyDescent="0.6">
      <c r="A4387" s="41"/>
    </row>
    <row r="4388" spans="1:1" x14ac:dyDescent="0.6">
      <c r="A4388" s="41"/>
    </row>
    <row r="4389" spans="1:1" x14ac:dyDescent="0.6">
      <c r="A4389" s="41"/>
    </row>
    <row r="4390" spans="1:1" x14ac:dyDescent="0.6">
      <c r="A4390" s="41"/>
    </row>
    <row r="4391" spans="1:1" x14ac:dyDescent="0.6">
      <c r="A4391" s="41"/>
    </row>
    <row r="4392" spans="1:1" x14ac:dyDescent="0.6">
      <c r="A4392" s="41"/>
    </row>
    <row r="4393" spans="1:1" x14ac:dyDescent="0.6">
      <c r="A4393" s="41"/>
    </row>
    <row r="4394" spans="1:1" x14ac:dyDescent="0.6">
      <c r="A4394" s="41"/>
    </row>
    <row r="4395" spans="1:1" x14ac:dyDescent="0.6">
      <c r="A4395" s="41"/>
    </row>
    <row r="4396" spans="1:1" x14ac:dyDescent="0.6">
      <c r="A4396" s="41"/>
    </row>
    <row r="4397" spans="1:1" x14ac:dyDescent="0.6">
      <c r="A4397" s="41"/>
    </row>
    <row r="4398" spans="1:1" x14ac:dyDescent="0.6">
      <c r="A4398" s="41"/>
    </row>
    <row r="4399" spans="1:1" x14ac:dyDescent="0.6">
      <c r="A4399" s="41"/>
    </row>
    <row r="4400" spans="1:1" x14ac:dyDescent="0.6">
      <c r="A4400" s="41"/>
    </row>
    <row r="4401" spans="1:1" x14ac:dyDescent="0.6">
      <c r="A4401" s="41"/>
    </row>
    <row r="4402" spans="1:1" x14ac:dyDescent="0.6">
      <c r="A4402" s="41"/>
    </row>
    <row r="4403" spans="1:1" x14ac:dyDescent="0.6">
      <c r="A4403" s="41"/>
    </row>
    <row r="4404" spans="1:1" x14ac:dyDescent="0.6">
      <c r="A4404" s="41"/>
    </row>
    <row r="4405" spans="1:1" x14ac:dyDescent="0.6">
      <c r="A4405" s="41"/>
    </row>
    <row r="4406" spans="1:1" x14ac:dyDescent="0.6">
      <c r="A4406" s="41"/>
    </row>
    <row r="4407" spans="1:1" x14ac:dyDescent="0.6">
      <c r="A4407" s="41"/>
    </row>
    <row r="4408" spans="1:1" x14ac:dyDescent="0.6">
      <c r="A4408" s="41"/>
    </row>
    <row r="4409" spans="1:1" x14ac:dyDescent="0.6">
      <c r="A4409" s="41"/>
    </row>
    <row r="4410" spans="1:1" x14ac:dyDescent="0.6">
      <c r="A4410" s="41"/>
    </row>
    <row r="4411" spans="1:1" x14ac:dyDescent="0.6">
      <c r="A4411" s="41"/>
    </row>
    <row r="4412" spans="1:1" x14ac:dyDescent="0.6">
      <c r="A4412" s="41"/>
    </row>
    <row r="4413" spans="1:1" x14ac:dyDescent="0.6">
      <c r="A4413" s="41"/>
    </row>
    <row r="4414" spans="1:1" x14ac:dyDescent="0.6">
      <c r="A4414" s="41"/>
    </row>
    <row r="4415" spans="1:1" x14ac:dyDescent="0.6">
      <c r="A4415" s="41"/>
    </row>
    <row r="4416" spans="1:1" x14ac:dyDescent="0.6">
      <c r="A4416" s="41"/>
    </row>
    <row r="4417" spans="1:1" x14ac:dyDescent="0.6">
      <c r="A4417" s="41"/>
    </row>
    <row r="4418" spans="1:1" x14ac:dyDescent="0.6">
      <c r="A4418" s="41"/>
    </row>
    <row r="4419" spans="1:1" x14ac:dyDescent="0.6">
      <c r="A4419" s="41"/>
    </row>
    <row r="4420" spans="1:1" x14ac:dyDescent="0.6">
      <c r="A4420" s="41"/>
    </row>
    <row r="4421" spans="1:1" x14ac:dyDescent="0.6">
      <c r="A4421" s="41"/>
    </row>
    <row r="4422" spans="1:1" x14ac:dyDescent="0.6">
      <c r="A4422" s="41"/>
    </row>
    <row r="4423" spans="1:1" x14ac:dyDescent="0.6">
      <c r="A4423" s="41"/>
    </row>
    <row r="4424" spans="1:1" x14ac:dyDescent="0.6">
      <c r="A4424" s="41"/>
    </row>
    <row r="4425" spans="1:1" x14ac:dyDescent="0.6">
      <c r="A4425" s="41"/>
    </row>
    <row r="4426" spans="1:1" x14ac:dyDescent="0.6">
      <c r="A4426" s="41"/>
    </row>
    <row r="4427" spans="1:1" x14ac:dyDescent="0.6">
      <c r="A4427" s="41"/>
    </row>
    <row r="4428" spans="1:1" x14ac:dyDescent="0.6">
      <c r="A4428" s="41"/>
    </row>
    <row r="4429" spans="1:1" x14ac:dyDescent="0.6">
      <c r="A4429" s="41"/>
    </row>
    <row r="4430" spans="1:1" x14ac:dyDescent="0.6">
      <c r="A4430" s="41"/>
    </row>
    <row r="4431" spans="1:1" x14ac:dyDescent="0.6">
      <c r="A4431" s="41"/>
    </row>
    <row r="4432" spans="1:1" x14ac:dyDescent="0.6">
      <c r="A4432" s="41"/>
    </row>
    <row r="4433" spans="1:1" x14ac:dyDescent="0.6">
      <c r="A4433" s="41"/>
    </row>
    <row r="4434" spans="1:1" x14ac:dyDescent="0.6">
      <c r="A4434" s="41"/>
    </row>
    <row r="4435" spans="1:1" x14ac:dyDescent="0.6">
      <c r="A4435" s="41"/>
    </row>
    <row r="4436" spans="1:1" x14ac:dyDescent="0.6">
      <c r="A4436" s="41"/>
    </row>
    <row r="4437" spans="1:1" x14ac:dyDescent="0.6">
      <c r="A4437" s="41"/>
    </row>
    <row r="4438" spans="1:1" x14ac:dyDescent="0.6">
      <c r="A4438" s="41"/>
    </row>
    <row r="4439" spans="1:1" x14ac:dyDescent="0.6">
      <c r="A4439" s="41"/>
    </row>
    <row r="4440" spans="1:1" x14ac:dyDescent="0.6">
      <c r="A4440" s="41"/>
    </row>
    <row r="4441" spans="1:1" x14ac:dyDescent="0.6">
      <c r="A4441" s="41"/>
    </row>
    <row r="4442" spans="1:1" x14ac:dyDescent="0.6">
      <c r="A4442" s="41"/>
    </row>
    <row r="4443" spans="1:1" x14ac:dyDescent="0.6">
      <c r="A4443" s="41"/>
    </row>
    <row r="4444" spans="1:1" x14ac:dyDescent="0.6">
      <c r="A4444" s="41"/>
    </row>
    <row r="4445" spans="1:1" x14ac:dyDescent="0.6">
      <c r="A4445" s="41"/>
    </row>
    <row r="4446" spans="1:1" x14ac:dyDescent="0.6">
      <c r="A4446" s="41"/>
    </row>
    <row r="4447" spans="1:1" x14ac:dyDescent="0.6">
      <c r="A4447" s="41"/>
    </row>
    <row r="4448" spans="1:1" x14ac:dyDescent="0.6">
      <c r="A4448" s="41"/>
    </row>
    <row r="4449" spans="1:1" x14ac:dyDescent="0.6">
      <c r="A4449" s="41"/>
    </row>
    <row r="4450" spans="1:1" x14ac:dyDescent="0.6">
      <c r="A4450" s="41"/>
    </row>
    <row r="4451" spans="1:1" x14ac:dyDescent="0.6">
      <c r="A4451" s="41"/>
    </row>
    <row r="4452" spans="1:1" x14ac:dyDescent="0.6">
      <c r="A4452" s="41"/>
    </row>
    <row r="4453" spans="1:1" x14ac:dyDescent="0.6">
      <c r="A4453" s="41"/>
    </row>
    <row r="4454" spans="1:1" x14ac:dyDescent="0.6">
      <c r="A4454" s="41"/>
    </row>
    <row r="4455" spans="1:1" x14ac:dyDescent="0.6">
      <c r="A4455" s="41"/>
    </row>
    <row r="4456" spans="1:1" x14ac:dyDescent="0.6">
      <c r="A4456" s="41"/>
    </row>
    <row r="4457" spans="1:1" x14ac:dyDescent="0.6">
      <c r="A4457" s="41"/>
    </row>
    <row r="4458" spans="1:1" x14ac:dyDescent="0.6">
      <c r="A4458" s="41"/>
    </row>
    <row r="4459" spans="1:1" x14ac:dyDescent="0.6">
      <c r="A4459" s="41"/>
    </row>
    <row r="4460" spans="1:1" x14ac:dyDescent="0.6">
      <c r="A4460" s="41"/>
    </row>
    <row r="4461" spans="1:1" x14ac:dyDescent="0.6">
      <c r="A4461" s="41"/>
    </row>
    <row r="4462" spans="1:1" x14ac:dyDescent="0.6">
      <c r="A4462" s="41"/>
    </row>
    <row r="4463" spans="1:1" x14ac:dyDescent="0.6">
      <c r="A4463" s="41"/>
    </row>
    <row r="4464" spans="1:1" x14ac:dyDescent="0.6">
      <c r="A4464" s="41"/>
    </row>
    <row r="4465" spans="1:1" x14ac:dyDescent="0.6">
      <c r="A4465" s="41"/>
    </row>
    <row r="4466" spans="1:1" x14ac:dyDescent="0.6">
      <c r="A4466" s="41"/>
    </row>
    <row r="4467" spans="1:1" x14ac:dyDescent="0.6">
      <c r="A4467" s="41"/>
    </row>
    <row r="4468" spans="1:1" x14ac:dyDescent="0.6">
      <c r="A4468" s="41"/>
    </row>
    <row r="4469" spans="1:1" x14ac:dyDescent="0.6">
      <c r="A4469" s="41"/>
    </row>
    <row r="4470" spans="1:1" x14ac:dyDescent="0.6">
      <c r="A4470" s="41"/>
    </row>
    <row r="4471" spans="1:1" x14ac:dyDescent="0.6">
      <c r="A4471" s="41"/>
    </row>
    <row r="4472" spans="1:1" x14ac:dyDescent="0.6">
      <c r="A4472" s="41"/>
    </row>
    <row r="4473" spans="1:1" x14ac:dyDescent="0.6">
      <c r="A4473" s="41"/>
    </row>
    <row r="4474" spans="1:1" x14ac:dyDescent="0.6">
      <c r="A4474" s="41"/>
    </row>
    <row r="4475" spans="1:1" x14ac:dyDescent="0.6">
      <c r="A4475" s="41"/>
    </row>
    <row r="4476" spans="1:1" x14ac:dyDescent="0.6">
      <c r="A4476" s="41"/>
    </row>
    <row r="4477" spans="1:1" x14ac:dyDescent="0.6">
      <c r="A4477" s="41"/>
    </row>
    <row r="4478" spans="1:1" x14ac:dyDescent="0.6">
      <c r="A4478" s="41"/>
    </row>
    <row r="4479" spans="1:1" x14ac:dyDescent="0.6">
      <c r="A4479" s="41"/>
    </row>
    <row r="4480" spans="1:1" x14ac:dyDescent="0.6">
      <c r="A4480" s="41"/>
    </row>
    <row r="4481" spans="1:1" x14ac:dyDescent="0.6">
      <c r="A4481" s="41"/>
    </row>
    <row r="4482" spans="1:1" x14ac:dyDescent="0.6">
      <c r="A4482" s="41"/>
    </row>
    <row r="4483" spans="1:1" x14ac:dyDescent="0.6">
      <c r="A4483" s="41"/>
    </row>
    <row r="4484" spans="1:1" x14ac:dyDescent="0.6">
      <c r="A4484" s="41"/>
    </row>
    <row r="4485" spans="1:1" x14ac:dyDescent="0.6">
      <c r="A4485" s="41"/>
    </row>
    <row r="4486" spans="1:1" x14ac:dyDescent="0.6">
      <c r="A4486" s="41"/>
    </row>
    <row r="4487" spans="1:1" x14ac:dyDescent="0.6">
      <c r="A4487" s="41"/>
    </row>
    <row r="4488" spans="1:1" x14ac:dyDescent="0.6">
      <c r="A4488" s="41"/>
    </row>
    <row r="4489" spans="1:1" x14ac:dyDescent="0.6">
      <c r="A4489" s="41"/>
    </row>
    <row r="4490" spans="1:1" x14ac:dyDescent="0.6">
      <c r="A4490" s="41"/>
    </row>
    <row r="4491" spans="1:1" x14ac:dyDescent="0.6">
      <c r="A4491" s="41"/>
    </row>
    <row r="4492" spans="1:1" x14ac:dyDescent="0.6">
      <c r="A4492" s="41"/>
    </row>
    <row r="4493" spans="1:1" x14ac:dyDescent="0.6">
      <c r="A4493" s="41"/>
    </row>
    <row r="4494" spans="1:1" x14ac:dyDescent="0.6">
      <c r="A4494" s="41"/>
    </row>
    <row r="4495" spans="1:1" x14ac:dyDescent="0.6">
      <c r="A4495" s="41"/>
    </row>
    <row r="4496" spans="1:1" x14ac:dyDescent="0.6">
      <c r="A4496" s="41"/>
    </row>
    <row r="4497" spans="1:1" x14ac:dyDescent="0.6">
      <c r="A4497" s="41"/>
    </row>
    <row r="4498" spans="1:1" x14ac:dyDescent="0.6">
      <c r="A4498" s="41"/>
    </row>
    <row r="4499" spans="1:1" x14ac:dyDescent="0.6">
      <c r="A4499" s="41"/>
    </row>
    <row r="4500" spans="1:1" x14ac:dyDescent="0.6">
      <c r="A4500" s="41"/>
    </row>
    <row r="4501" spans="1:1" x14ac:dyDescent="0.6">
      <c r="A4501" s="41"/>
    </row>
    <row r="4502" spans="1:1" x14ac:dyDescent="0.6">
      <c r="A4502" s="41"/>
    </row>
    <row r="4503" spans="1:1" x14ac:dyDescent="0.6">
      <c r="A4503" s="41"/>
    </row>
    <row r="4504" spans="1:1" x14ac:dyDescent="0.6">
      <c r="A4504" s="41"/>
    </row>
    <row r="4505" spans="1:1" x14ac:dyDescent="0.6">
      <c r="A4505" s="41"/>
    </row>
    <row r="4506" spans="1:1" x14ac:dyDescent="0.6">
      <c r="A4506" s="41"/>
    </row>
    <row r="4507" spans="1:1" x14ac:dyDescent="0.6">
      <c r="A4507" s="41"/>
    </row>
    <row r="4508" spans="1:1" x14ac:dyDescent="0.6">
      <c r="A4508" s="41"/>
    </row>
    <row r="4509" spans="1:1" x14ac:dyDescent="0.6">
      <c r="A4509" s="41"/>
    </row>
    <row r="4510" spans="1:1" x14ac:dyDescent="0.6">
      <c r="A4510" s="41"/>
    </row>
    <row r="4511" spans="1:1" x14ac:dyDescent="0.6">
      <c r="A4511" s="41"/>
    </row>
    <row r="4512" spans="1:1" x14ac:dyDescent="0.6">
      <c r="A4512" s="41"/>
    </row>
    <row r="4513" spans="1:1" x14ac:dyDescent="0.6">
      <c r="A4513" s="41"/>
    </row>
    <row r="4514" spans="1:1" x14ac:dyDescent="0.6">
      <c r="A4514" s="41"/>
    </row>
    <row r="4515" spans="1:1" x14ac:dyDescent="0.6">
      <c r="A4515" s="41"/>
    </row>
    <row r="4516" spans="1:1" x14ac:dyDescent="0.6">
      <c r="A4516" s="41"/>
    </row>
    <row r="4517" spans="1:1" x14ac:dyDescent="0.6">
      <c r="A4517" s="41"/>
    </row>
    <row r="4518" spans="1:1" x14ac:dyDescent="0.6">
      <c r="A4518" s="41"/>
    </row>
    <row r="4519" spans="1:1" x14ac:dyDescent="0.6">
      <c r="A4519" s="41"/>
    </row>
    <row r="4520" spans="1:1" x14ac:dyDescent="0.6">
      <c r="A4520" s="41"/>
    </row>
    <row r="4521" spans="1:1" x14ac:dyDescent="0.6">
      <c r="A4521" s="41"/>
    </row>
    <row r="4522" spans="1:1" x14ac:dyDescent="0.6">
      <c r="A4522" s="41"/>
    </row>
    <row r="4523" spans="1:1" x14ac:dyDescent="0.6">
      <c r="A4523" s="41"/>
    </row>
    <row r="4524" spans="1:1" x14ac:dyDescent="0.6">
      <c r="A4524" s="41"/>
    </row>
    <row r="4525" spans="1:1" x14ac:dyDescent="0.6">
      <c r="A4525" s="41"/>
    </row>
    <row r="4526" spans="1:1" x14ac:dyDescent="0.6">
      <c r="A4526" s="41"/>
    </row>
    <row r="4527" spans="1:1" x14ac:dyDescent="0.6">
      <c r="A4527" s="41"/>
    </row>
    <row r="4528" spans="1:1" x14ac:dyDescent="0.6">
      <c r="A4528" s="41"/>
    </row>
    <row r="4529" spans="1:1" x14ac:dyDescent="0.6">
      <c r="A4529" s="41"/>
    </row>
    <row r="4530" spans="1:1" x14ac:dyDescent="0.6">
      <c r="A4530" s="41"/>
    </row>
    <row r="4531" spans="1:1" x14ac:dyDescent="0.6">
      <c r="A4531" s="41"/>
    </row>
    <row r="4532" spans="1:1" x14ac:dyDescent="0.6">
      <c r="A4532" s="41"/>
    </row>
    <row r="4533" spans="1:1" x14ac:dyDescent="0.6">
      <c r="A4533" s="41"/>
    </row>
    <row r="4534" spans="1:1" x14ac:dyDescent="0.6">
      <c r="A4534" s="41"/>
    </row>
    <row r="4535" spans="1:1" x14ac:dyDescent="0.6">
      <c r="A4535" s="41"/>
    </row>
    <row r="4536" spans="1:1" x14ac:dyDescent="0.6">
      <c r="A4536" s="41"/>
    </row>
    <row r="4537" spans="1:1" x14ac:dyDescent="0.6">
      <c r="A4537" s="41"/>
    </row>
    <row r="4538" spans="1:1" x14ac:dyDescent="0.6">
      <c r="A4538" s="41"/>
    </row>
    <row r="4539" spans="1:1" x14ac:dyDescent="0.6">
      <c r="A4539" s="41"/>
    </row>
    <row r="4540" spans="1:1" x14ac:dyDescent="0.6">
      <c r="A4540" s="41"/>
    </row>
    <row r="4541" spans="1:1" x14ac:dyDescent="0.6">
      <c r="A4541" s="41"/>
    </row>
    <row r="4542" spans="1:1" x14ac:dyDescent="0.6">
      <c r="A4542" s="41"/>
    </row>
    <row r="4543" spans="1:1" x14ac:dyDescent="0.6">
      <c r="A4543" s="41"/>
    </row>
    <row r="4544" spans="1:1" x14ac:dyDescent="0.6">
      <c r="A4544" s="41"/>
    </row>
    <row r="4545" spans="1:1" x14ac:dyDescent="0.6">
      <c r="A4545" s="41"/>
    </row>
    <row r="4546" spans="1:1" x14ac:dyDescent="0.6">
      <c r="A4546" s="41"/>
    </row>
    <row r="4547" spans="1:1" x14ac:dyDescent="0.6">
      <c r="A4547" s="41"/>
    </row>
    <row r="4548" spans="1:1" x14ac:dyDescent="0.6">
      <c r="A4548" s="41"/>
    </row>
    <row r="4549" spans="1:1" x14ac:dyDescent="0.6">
      <c r="A4549" s="41"/>
    </row>
    <row r="4550" spans="1:1" x14ac:dyDescent="0.6">
      <c r="A4550" s="41"/>
    </row>
    <row r="4551" spans="1:1" x14ac:dyDescent="0.6">
      <c r="A4551" s="41"/>
    </row>
    <row r="4552" spans="1:1" x14ac:dyDescent="0.6">
      <c r="A4552" s="41"/>
    </row>
    <row r="4553" spans="1:1" x14ac:dyDescent="0.6">
      <c r="A4553" s="41"/>
    </row>
    <row r="4554" spans="1:1" x14ac:dyDescent="0.6">
      <c r="A4554" s="41"/>
    </row>
    <row r="4555" spans="1:1" x14ac:dyDescent="0.6">
      <c r="A4555" s="41"/>
    </row>
    <row r="4556" spans="1:1" x14ac:dyDescent="0.6">
      <c r="A4556" s="41"/>
    </row>
    <row r="4557" spans="1:1" x14ac:dyDescent="0.6">
      <c r="A4557" s="41"/>
    </row>
    <row r="4558" spans="1:1" x14ac:dyDescent="0.6">
      <c r="A4558" s="41"/>
    </row>
    <row r="4559" spans="1:1" x14ac:dyDescent="0.6">
      <c r="A4559" s="41"/>
    </row>
    <row r="4560" spans="1:1" x14ac:dyDescent="0.6">
      <c r="A4560" s="41"/>
    </row>
    <row r="4561" spans="1:1" x14ac:dyDescent="0.6">
      <c r="A4561" s="41"/>
    </row>
    <row r="4562" spans="1:1" x14ac:dyDescent="0.6">
      <c r="A4562" s="41"/>
    </row>
    <row r="4563" spans="1:1" x14ac:dyDescent="0.6">
      <c r="A4563" s="41"/>
    </row>
    <row r="4564" spans="1:1" x14ac:dyDescent="0.6">
      <c r="A4564" s="41"/>
    </row>
    <row r="4565" spans="1:1" x14ac:dyDescent="0.6">
      <c r="A4565" s="41"/>
    </row>
    <row r="4566" spans="1:1" x14ac:dyDescent="0.6">
      <c r="A4566" s="41"/>
    </row>
    <row r="4567" spans="1:1" x14ac:dyDescent="0.6">
      <c r="A4567" s="41"/>
    </row>
    <row r="4568" spans="1:1" x14ac:dyDescent="0.6">
      <c r="A4568" s="41"/>
    </row>
    <row r="4569" spans="1:1" x14ac:dyDescent="0.6">
      <c r="A4569" s="41"/>
    </row>
    <row r="4570" spans="1:1" x14ac:dyDescent="0.6">
      <c r="A4570" s="41"/>
    </row>
    <row r="4571" spans="1:1" x14ac:dyDescent="0.6">
      <c r="A4571" s="41"/>
    </row>
    <row r="4572" spans="1:1" x14ac:dyDescent="0.6">
      <c r="A4572" s="41"/>
    </row>
    <row r="4573" spans="1:1" x14ac:dyDescent="0.6">
      <c r="A4573" s="41"/>
    </row>
    <row r="4574" spans="1:1" x14ac:dyDescent="0.6">
      <c r="A4574" s="41"/>
    </row>
    <row r="4575" spans="1:1" x14ac:dyDescent="0.6">
      <c r="A4575" s="41"/>
    </row>
    <row r="4576" spans="1:1" x14ac:dyDescent="0.6">
      <c r="A4576" s="41"/>
    </row>
    <row r="4577" spans="1:1" x14ac:dyDescent="0.6">
      <c r="A4577" s="41"/>
    </row>
    <row r="4578" spans="1:1" x14ac:dyDescent="0.6">
      <c r="A4578" s="41"/>
    </row>
    <row r="4579" spans="1:1" x14ac:dyDescent="0.6">
      <c r="A4579" s="41"/>
    </row>
    <row r="4580" spans="1:1" x14ac:dyDescent="0.6">
      <c r="A4580" s="41"/>
    </row>
    <row r="4581" spans="1:1" x14ac:dyDescent="0.6">
      <c r="A4581" s="41"/>
    </row>
    <row r="4582" spans="1:1" x14ac:dyDescent="0.6">
      <c r="A4582" s="41"/>
    </row>
    <row r="4583" spans="1:1" x14ac:dyDescent="0.6">
      <c r="A4583" s="41"/>
    </row>
    <row r="4584" spans="1:1" x14ac:dyDescent="0.6">
      <c r="A4584" s="41"/>
    </row>
    <row r="4585" spans="1:1" x14ac:dyDescent="0.6">
      <c r="A4585" s="41"/>
    </row>
    <row r="4586" spans="1:1" x14ac:dyDescent="0.6">
      <c r="A4586" s="41"/>
    </row>
    <row r="4587" spans="1:1" x14ac:dyDescent="0.6">
      <c r="A4587" s="41"/>
    </row>
    <row r="4588" spans="1:1" x14ac:dyDescent="0.6">
      <c r="A4588" s="41"/>
    </row>
    <row r="4589" spans="1:1" x14ac:dyDescent="0.6">
      <c r="A4589" s="41"/>
    </row>
    <row r="4590" spans="1:1" x14ac:dyDescent="0.6">
      <c r="A4590" s="41"/>
    </row>
    <row r="4591" spans="1:1" x14ac:dyDescent="0.6">
      <c r="A4591" s="41"/>
    </row>
    <row r="4592" spans="1:1" x14ac:dyDescent="0.6">
      <c r="A4592" s="41"/>
    </row>
    <row r="4593" spans="1:1" x14ac:dyDescent="0.6">
      <c r="A4593" s="41"/>
    </row>
    <row r="4594" spans="1:1" x14ac:dyDescent="0.6">
      <c r="A4594" s="41"/>
    </row>
    <row r="4595" spans="1:1" x14ac:dyDescent="0.6">
      <c r="A4595" s="41"/>
    </row>
    <row r="4596" spans="1:1" x14ac:dyDescent="0.6">
      <c r="A4596" s="41"/>
    </row>
    <row r="4597" spans="1:1" x14ac:dyDescent="0.6">
      <c r="A4597" s="41"/>
    </row>
    <row r="4598" spans="1:1" x14ac:dyDescent="0.6">
      <c r="A4598" s="41"/>
    </row>
    <row r="4599" spans="1:1" x14ac:dyDescent="0.6">
      <c r="A4599" s="41"/>
    </row>
    <row r="4600" spans="1:1" x14ac:dyDescent="0.6">
      <c r="A4600" s="41"/>
    </row>
    <row r="4601" spans="1:1" x14ac:dyDescent="0.6">
      <c r="A4601" s="41"/>
    </row>
    <row r="4602" spans="1:1" x14ac:dyDescent="0.6">
      <c r="A4602" s="41"/>
    </row>
    <row r="4603" spans="1:1" x14ac:dyDescent="0.6">
      <c r="A4603" s="41"/>
    </row>
    <row r="4604" spans="1:1" x14ac:dyDescent="0.6">
      <c r="A4604" s="41"/>
    </row>
    <row r="4605" spans="1:1" x14ac:dyDescent="0.6">
      <c r="A4605" s="41"/>
    </row>
    <row r="4606" spans="1:1" x14ac:dyDescent="0.6">
      <c r="A4606" s="41"/>
    </row>
    <row r="4607" spans="1:1" x14ac:dyDescent="0.6">
      <c r="A4607" s="41"/>
    </row>
    <row r="4608" spans="1:1" x14ac:dyDescent="0.6">
      <c r="A4608" s="41"/>
    </row>
    <row r="4609" spans="1:1" x14ac:dyDescent="0.6">
      <c r="A4609" s="41"/>
    </row>
    <row r="4610" spans="1:1" x14ac:dyDescent="0.6">
      <c r="A4610" s="41"/>
    </row>
    <row r="4611" spans="1:1" x14ac:dyDescent="0.6">
      <c r="A4611" s="41"/>
    </row>
    <row r="4612" spans="1:1" x14ac:dyDescent="0.6">
      <c r="A4612" s="41"/>
    </row>
    <row r="4613" spans="1:1" x14ac:dyDescent="0.6">
      <c r="A4613" s="41"/>
    </row>
    <row r="4614" spans="1:1" x14ac:dyDescent="0.6">
      <c r="A4614" s="41"/>
    </row>
    <row r="4615" spans="1:1" x14ac:dyDescent="0.6">
      <c r="A4615" s="41"/>
    </row>
    <row r="4616" spans="1:1" x14ac:dyDescent="0.6">
      <c r="A4616" s="41"/>
    </row>
    <row r="4617" spans="1:1" x14ac:dyDescent="0.6">
      <c r="A4617" s="41"/>
    </row>
    <row r="4618" spans="1:1" x14ac:dyDescent="0.6">
      <c r="A4618" s="41"/>
    </row>
    <row r="4619" spans="1:1" x14ac:dyDescent="0.6">
      <c r="A4619" s="41"/>
    </row>
    <row r="4620" spans="1:1" x14ac:dyDescent="0.6">
      <c r="A4620" s="41"/>
    </row>
    <row r="4621" spans="1:1" x14ac:dyDescent="0.6">
      <c r="A4621" s="41"/>
    </row>
    <row r="4622" spans="1:1" x14ac:dyDescent="0.6">
      <c r="A4622" s="41"/>
    </row>
    <row r="4623" spans="1:1" x14ac:dyDescent="0.6">
      <c r="A4623" s="41"/>
    </row>
    <row r="4624" spans="1:1" x14ac:dyDescent="0.6">
      <c r="A4624" s="41"/>
    </row>
    <row r="4625" spans="1:1" x14ac:dyDescent="0.6">
      <c r="A4625" s="41"/>
    </row>
    <row r="4626" spans="1:1" x14ac:dyDescent="0.6">
      <c r="A4626" s="41"/>
    </row>
    <row r="4627" spans="1:1" x14ac:dyDescent="0.6">
      <c r="A4627" s="41"/>
    </row>
    <row r="4628" spans="1:1" x14ac:dyDescent="0.6">
      <c r="A4628" s="41"/>
    </row>
    <row r="4629" spans="1:1" x14ac:dyDescent="0.6">
      <c r="A4629" s="41"/>
    </row>
    <row r="4630" spans="1:1" x14ac:dyDescent="0.6">
      <c r="A4630" s="41"/>
    </row>
    <row r="4631" spans="1:1" x14ac:dyDescent="0.6">
      <c r="A4631" s="41"/>
    </row>
    <row r="4632" spans="1:1" x14ac:dyDescent="0.6">
      <c r="A4632" s="41"/>
    </row>
    <row r="4633" spans="1:1" x14ac:dyDescent="0.6">
      <c r="A4633" s="41"/>
    </row>
    <row r="4634" spans="1:1" x14ac:dyDescent="0.6">
      <c r="A4634" s="41"/>
    </row>
    <row r="4635" spans="1:1" x14ac:dyDescent="0.6">
      <c r="A4635" s="41"/>
    </row>
    <row r="4636" spans="1:1" x14ac:dyDescent="0.6">
      <c r="A4636" s="41"/>
    </row>
    <row r="4637" spans="1:1" x14ac:dyDescent="0.6">
      <c r="A4637" s="41"/>
    </row>
    <row r="4638" spans="1:1" x14ac:dyDescent="0.6">
      <c r="A4638" s="41"/>
    </row>
    <row r="4639" spans="1:1" x14ac:dyDescent="0.6">
      <c r="A4639" s="41"/>
    </row>
    <row r="4640" spans="1:1" x14ac:dyDescent="0.6">
      <c r="A4640" s="41"/>
    </row>
    <row r="4641" spans="1:1" x14ac:dyDescent="0.6">
      <c r="A4641" s="41"/>
    </row>
    <row r="4642" spans="1:1" x14ac:dyDescent="0.6">
      <c r="A4642" s="41"/>
    </row>
    <row r="4643" spans="1:1" x14ac:dyDescent="0.6">
      <c r="A4643" s="41"/>
    </row>
    <row r="4644" spans="1:1" x14ac:dyDescent="0.6">
      <c r="A4644" s="41"/>
    </row>
    <row r="4645" spans="1:1" x14ac:dyDescent="0.6">
      <c r="A4645" s="41"/>
    </row>
    <row r="4646" spans="1:1" x14ac:dyDescent="0.6">
      <c r="A4646" s="41"/>
    </row>
    <row r="4647" spans="1:1" x14ac:dyDescent="0.6">
      <c r="A4647" s="41"/>
    </row>
    <row r="4648" spans="1:1" x14ac:dyDescent="0.6">
      <c r="A4648" s="41"/>
    </row>
    <row r="4649" spans="1:1" x14ac:dyDescent="0.6">
      <c r="A4649" s="41"/>
    </row>
    <row r="4650" spans="1:1" x14ac:dyDescent="0.6">
      <c r="A4650" s="41"/>
    </row>
    <row r="4651" spans="1:1" x14ac:dyDescent="0.6">
      <c r="A4651" s="41"/>
    </row>
    <row r="4652" spans="1:1" x14ac:dyDescent="0.6">
      <c r="A4652" s="41"/>
    </row>
    <row r="4653" spans="1:1" x14ac:dyDescent="0.6">
      <c r="A4653" s="41"/>
    </row>
    <row r="4654" spans="1:1" x14ac:dyDescent="0.6">
      <c r="A4654" s="41"/>
    </row>
    <row r="4655" spans="1:1" x14ac:dyDescent="0.6">
      <c r="A4655" s="41"/>
    </row>
    <row r="4656" spans="1:1" x14ac:dyDescent="0.6">
      <c r="A4656" s="41"/>
    </row>
    <row r="4657" spans="1:1" x14ac:dyDescent="0.6">
      <c r="A4657" s="41"/>
    </row>
    <row r="4658" spans="1:1" x14ac:dyDescent="0.6">
      <c r="A4658" s="41"/>
    </row>
    <row r="4659" spans="1:1" x14ac:dyDescent="0.6">
      <c r="A4659" s="41"/>
    </row>
    <row r="4660" spans="1:1" x14ac:dyDescent="0.6">
      <c r="A4660" s="41"/>
    </row>
    <row r="4661" spans="1:1" x14ac:dyDescent="0.6">
      <c r="A4661" s="41"/>
    </row>
    <row r="4662" spans="1:1" x14ac:dyDescent="0.6">
      <c r="A4662" s="41"/>
    </row>
    <row r="4663" spans="1:1" x14ac:dyDescent="0.6">
      <c r="A4663" s="41"/>
    </row>
    <row r="4664" spans="1:1" x14ac:dyDescent="0.6">
      <c r="A4664" s="41"/>
    </row>
    <row r="4665" spans="1:1" x14ac:dyDescent="0.6">
      <c r="A4665" s="41"/>
    </row>
    <row r="4666" spans="1:1" x14ac:dyDescent="0.6">
      <c r="A4666" s="41"/>
    </row>
    <row r="4667" spans="1:1" x14ac:dyDescent="0.6">
      <c r="A4667" s="41"/>
    </row>
    <row r="4668" spans="1:1" x14ac:dyDescent="0.6">
      <c r="A4668" s="41"/>
    </row>
    <row r="4669" spans="1:1" x14ac:dyDescent="0.6">
      <c r="A4669" s="41"/>
    </row>
    <row r="4670" spans="1:1" x14ac:dyDescent="0.6">
      <c r="A4670" s="41"/>
    </row>
    <row r="4671" spans="1:1" x14ac:dyDescent="0.6">
      <c r="A4671" s="41"/>
    </row>
    <row r="4672" spans="1:1" x14ac:dyDescent="0.6">
      <c r="A4672" s="41"/>
    </row>
    <row r="4673" spans="1:1" x14ac:dyDescent="0.6">
      <c r="A4673" s="41"/>
    </row>
    <row r="4674" spans="1:1" x14ac:dyDescent="0.6">
      <c r="A4674" s="41"/>
    </row>
    <row r="4675" spans="1:1" x14ac:dyDescent="0.6">
      <c r="A4675" s="41"/>
    </row>
    <row r="4676" spans="1:1" x14ac:dyDescent="0.6">
      <c r="A4676" s="41"/>
    </row>
    <row r="4677" spans="1:1" x14ac:dyDescent="0.6">
      <c r="A4677" s="41"/>
    </row>
    <row r="4678" spans="1:1" x14ac:dyDescent="0.6">
      <c r="A4678" s="41"/>
    </row>
    <row r="4679" spans="1:1" x14ac:dyDescent="0.6">
      <c r="A4679" s="41"/>
    </row>
    <row r="4680" spans="1:1" x14ac:dyDescent="0.6">
      <c r="A4680" s="41"/>
    </row>
    <row r="4681" spans="1:1" x14ac:dyDescent="0.6">
      <c r="A4681" s="41"/>
    </row>
    <row r="4682" spans="1:1" x14ac:dyDescent="0.6">
      <c r="A4682" s="41"/>
    </row>
    <row r="4683" spans="1:1" x14ac:dyDescent="0.6">
      <c r="A4683" s="41"/>
    </row>
    <row r="4684" spans="1:1" x14ac:dyDescent="0.6">
      <c r="A4684" s="41"/>
    </row>
    <row r="4685" spans="1:1" x14ac:dyDescent="0.6">
      <c r="A4685" s="41"/>
    </row>
    <row r="4686" spans="1:1" x14ac:dyDescent="0.6">
      <c r="A4686" s="41"/>
    </row>
    <row r="4687" spans="1:1" x14ac:dyDescent="0.6">
      <c r="A4687" s="41"/>
    </row>
    <row r="4688" spans="1:1" x14ac:dyDescent="0.6">
      <c r="A4688" s="41"/>
    </row>
    <row r="4689" spans="1:1" x14ac:dyDescent="0.6">
      <c r="A4689" s="41"/>
    </row>
    <row r="4690" spans="1:1" x14ac:dyDescent="0.6">
      <c r="A4690" s="41"/>
    </row>
    <row r="4691" spans="1:1" x14ac:dyDescent="0.6">
      <c r="A4691" s="41"/>
    </row>
    <row r="4692" spans="1:1" x14ac:dyDescent="0.6">
      <c r="A4692" s="41"/>
    </row>
    <row r="4693" spans="1:1" x14ac:dyDescent="0.6">
      <c r="A4693" s="41"/>
    </row>
    <row r="4694" spans="1:1" x14ac:dyDescent="0.6">
      <c r="A4694" s="41"/>
    </row>
    <row r="4695" spans="1:1" x14ac:dyDescent="0.6">
      <c r="A4695" s="41"/>
    </row>
    <row r="4696" spans="1:1" x14ac:dyDescent="0.6">
      <c r="A4696" s="41"/>
    </row>
    <row r="4697" spans="1:1" x14ac:dyDescent="0.6">
      <c r="A4697" s="41"/>
    </row>
    <row r="4698" spans="1:1" x14ac:dyDescent="0.6">
      <c r="A4698" s="41"/>
    </row>
    <row r="4699" spans="1:1" x14ac:dyDescent="0.6">
      <c r="A4699" s="41"/>
    </row>
    <row r="4700" spans="1:1" x14ac:dyDescent="0.6">
      <c r="A4700" s="41"/>
    </row>
    <row r="4701" spans="1:1" x14ac:dyDescent="0.6">
      <c r="A4701" s="41"/>
    </row>
    <row r="4702" spans="1:1" x14ac:dyDescent="0.6">
      <c r="A4702" s="41"/>
    </row>
    <row r="4703" spans="1:1" x14ac:dyDescent="0.6">
      <c r="A4703" s="41"/>
    </row>
    <row r="4704" spans="1:1" x14ac:dyDescent="0.6">
      <c r="A4704" s="41"/>
    </row>
    <row r="4705" spans="1:1" x14ac:dyDescent="0.6">
      <c r="A4705" s="41"/>
    </row>
    <row r="4706" spans="1:1" x14ac:dyDescent="0.6">
      <c r="A4706" s="41"/>
    </row>
    <row r="4707" spans="1:1" x14ac:dyDescent="0.6">
      <c r="A4707" s="41"/>
    </row>
    <row r="4708" spans="1:1" x14ac:dyDescent="0.6">
      <c r="A4708" s="41"/>
    </row>
    <row r="4709" spans="1:1" x14ac:dyDescent="0.6">
      <c r="A4709" s="41"/>
    </row>
    <row r="4710" spans="1:1" x14ac:dyDescent="0.6">
      <c r="A4710" s="41"/>
    </row>
    <row r="4711" spans="1:1" x14ac:dyDescent="0.6">
      <c r="A4711" s="41"/>
    </row>
    <row r="4712" spans="1:1" x14ac:dyDescent="0.6">
      <c r="A4712" s="41"/>
    </row>
    <row r="4713" spans="1:1" x14ac:dyDescent="0.6">
      <c r="A4713" s="41"/>
    </row>
    <row r="4714" spans="1:1" x14ac:dyDescent="0.6">
      <c r="A4714" s="41"/>
    </row>
    <row r="4715" spans="1:1" x14ac:dyDescent="0.6">
      <c r="A4715" s="41"/>
    </row>
    <row r="4716" spans="1:1" x14ac:dyDescent="0.6">
      <c r="A4716" s="41"/>
    </row>
    <row r="4717" spans="1:1" x14ac:dyDescent="0.6">
      <c r="A4717" s="41"/>
    </row>
    <row r="4718" spans="1:1" x14ac:dyDescent="0.6">
      <c r="A4718" s="41"/>
    </row>
    <row r="4719" spans="1:1" x14ac:dyDescent="0.6">
      <c r="A4719" s="41"/>
    </row>
    <row r="4720" spans="1:1" x14ac:dyDescent="0.6">
      <c r="A4720" s="41"/>
    </row>
    <row r="4721" spans="1:1" x14ac:dyDescent="0.6">
      <c r="A4721" s="41"/>
    </row>
    <row r="4722" spans="1:1" x14ac:dyDescent="0.6">
      <c r="A4722" s="41"/>
    </row>
    <row r="4723" spans="1:1" x14ac:dyDescent="0.6">
      <c r="A4723" s="41"/>
    </row>
    <row r="4724" spans="1:1" x14ac:dyDescent="0.6">
      <c r="A4724" s="41"/>
    </row>
    <row r="4725" spans="1:1" x14ac:dyDescent="0.6">
      <c r="A4725" s="41"/>
    </row>
    <row r="4726" spans="1:1" x14ac:dyDescent="0.6">
      <c r="A4726" s="41"/>
    </row>
    <row r="4727" spans="1:1" x14ac:dyDescent="0.6">
      <c r="A4727" s="41"/>
    </row>
    <row r="4728" spans="1:1" x14ac:dyDescent="0.6">
      <c r="A4728" s="41"/>
    </row>
    <row r="4729" spans="1:1" x14ac:dyDescent="0.6">
      <c r="A4729" s="41"/>
    </row>
    <row r="4730" spans="1:1" x14ac:dyDescent="0.6">
      <c r="A4730" s="41"/>
    </row>
    <row r="4731" spans="1:1" x14ac:dyDescent="0.6">
      <c r="A4731" s="41"/>
    </row>
    <row r="4732" spans="1:1" x14ac:dyDescent="0.6">
      <c r="A4732" s="41"/>
    </row>
    <row r="4733" spans="1:1" x14ac:dyDescent="0.6">
      <c r="A4733" s="41"/>
    </row>
    <row r="4734" spans="1:1" x14ac:dyDescent="0.6">
      <c r="A4734" s="41"/>
    </row>
    <row r="4735" spans="1:1" x14ac:dyDescent="0.6">
      <c r="A4735" s="41"/>
    </row>
    <row r="4736" spans="1:1" x14ac:dyDescent="0.6">
      <c r="A4736" s="41"/>
    </row>
    <row r="4737" spans="1:1" x14ac:dyDescent="0.6">
      <c r="A4737" s="41"/>
    </row>
    <row r="4738" spans="1:1" x14ac:dyDescent="0.6">
      <c r="A4738" s="41"/>
    </row>
    <row r="4739" spans="1:1" x14ac:dyDescent="0.6">
      <c r="A4739" s="41"/>
    </row>
    <row r="4740" spans="1:1" x14ac:dyDescent="0.6">
      <c r="A4740" s="41"/>
    </row>
    <row r="4741" spans="1:1" x14ac:dyDescent="0.6">
      <c r="A4741" s="41"/>
    </row>
    <row r="4742" spans="1:1" x14ac:dyDescent="0.6">
      <c r="A4742" s="41"/>
    </row>
    <row r="4743" spans="1:1" x14ac:dyDescent="0.6">
      <c r="A4743" s="41"/>
    </row>
    <row r="4744" spans="1:1" x14ac:dyDescent="0.6">
      <c r="A4744" s="41"/>
    </row>
    <row r="4745" spans="1:1" x14ac:dyDescent="0.6">
      <c r="A4745" s="41"/>
    </row>
    <row r="4746" spans="1:1" x14ac:dyDescent="0.6">
      <c r="A4746" s="41"/>
    </row>
    <row r="4747" spans="1:1" x14ac:dyDescent="0.6">
      <c r="A4747" s="41"/>
    </row>
    <row r="4748" spans="1:1" x14ac:dyDescent="0.6">
      <c r="A4748" s="41"/>
    </row>
    <row r="4749" spans="1:1" x14ac:dyDescent="0.6">
      <c r="A4749" s="41"/>
    </row>
    <row r="4750" spans="1:1" x14ac:dyDescent="0.6">
      <c r="A4750" s="41"/>
    </row>
    <row r="4751" spans="1:1" x14ac:dyDescent="0.6">
      <c r="A4751" s="41"/>
    </row>
    <row r="4752" spans="1:1" x14ac:dyDescent="0.6">
      <c r="A4752" s="41"/>
    </row>
    <row r="4753" spans="1:1" x14ac:dyDescent="0.6">
      <c r="A4753" s="41"/>
    </row>
    <row r="4754" spans="1:1" x14ac:dyDescent="0.6">
      <c r="A4754" s="41"/>
    </row>
    <row r="4755" spans="1:1" x14ac:dyDescent="0.6">
      <c r="A4755" s="41"/>
    </row>
    <row r="4756" spans="1:1" x14ac:dyDescent="0.6">
      <c r="A4756" s="41"/>
    </row>
    <row r="4757" spans="1:1" x14ac:dyDescent="0.6">
      <c r="A4757" s="41"/>
    </row>
    <row r="4758" spans="1:1" x14ac:dyDescent="0.6">
      <c r="A4758" s="41"/>
    </row>
    <row r="4759" spans="1:1" x14ac:dyDescent="0.6">
      <c r="A4759" s="41"/>
    </row>
    <row r="4760" spans="1:1" x14ac:dyDescent="0.6">
      <c r="A4760" s="41"/>
    </row>
    <row r="4761" spans="1:1" x14ac:dyDescent="0.6">
      <c r="A4761" s="41"/>
    </row>
    <row r="4762" spans="1:1" x14ac:dyDescent="0.6">
      <c r="A4762" s="41"/>
    </row>
    <row r="4763" spans="1:1" x14ac:dyDescent="0.6">
      <c r="A4763" s="41"/>
    </row>
    <row r="4764" spans="1:1" x14ac:dyDescent="0.6">
      <c r="A4764" s="41"/>
    </row>
    <row r="4765" spans="1:1" x14ac:dyDescent="0.6">
      <c r="A4765" s="41"/>
    </row>
    <row r="4766" spans="1:1" x14ac:dyDescent="0.6">
      <c r="A4766" s="41"/>
    </row>
    <row r="4767" spans="1:1" x14ac:dyDescent="0.6">
      <c r="A4767" s="41"/>
    </row>
    <row r="4768" spans="1:1" x14ac:dyDescent="0.6">
      <c r="A4768" s="41"/>
    </row>
    <row r="4769" spans="1:1" x14ac:dyDescent="0.6">
      <c r="A4769" s="41"/>
    </row>
    <row r="4770" spans="1:1" x14ac:dyDescent="0.6">
      <c r="A4770" s="41"/>
    </row>
    <row r="4771" spans="1:1" x14ac:dyDescent="0.6">
      <c r="A4771" s="41"/>
    </row>
    <row r="4772" spans="1:1" x14ac:dyDescent="0.6">
      <c r="A4772" s="41"/>
    </row>
    <row r="4773" spans="1:1" x14ac:dyDescent="0.6">
      <c r="A4773" s="41"/>
    </row>
    <row r="4774" spans="1:1" x14ac:dyDescent="0.6">
      <c r="A4774" s="41"/>
    </row>
    <row r="4775" spans="1:1" x14ac:dyDescent="0.6">
      <c r="A4775" s="41"/>
    </row>
    <row r="4776" spans="1:1" x14ac:dyDescent="0.6">
      <c r="A4776" s="41"/>
    </row>
    <row r="4777" spans="1:1" x14ac:dyDescent="0.6">
      <c r="A4777" s="41"/>
    </row>
    <row r="4778" spans="1:1" x14ac:dyDescent="0.6">
      <c r="A4778" s="41"/>
    </row>
    <row r="4779" spans="1:1" x14ac:dyDescent="0.6">
      <c r="A4779" s="41"/>
    </row>
    <row r="4780" spans="1:1" x14ac:dyDescent="0.6">
      <c r="A4780" s="41"/>
    </row>
    <row r="4781" spans="1:1" x14ac:dyDescent="0.6">
      <c r="A4781" s="41"/>
    </row>
    <row r="4782" spans="1:1" x14ac:dyDescent="0.6">
      <c r="A4782" s="41"/>
    </row>
    <row r="4783" spans="1:1" x14ac:dyDescent="0.6">
      <c r="A4783" s="41"/>
    </row>
    <row r="4784" spans="1:1" x14ac:dyDescent="0.6">
      <c r="A4784" s="41"/>
    </row>
    <row r="4785" spans="1:1" x14ac:dyDescent="0.6">
      <c r="A4785" s="41"/>
    </row>
    <row r="4786" spans="1:1" x14ac:dyDescent="0.6">
      <c r="A4786" s="41"/>
    </row>
    <row r="4787" spans="1:1" x14ac:dyDescent="0.6">
      <c r="A4787" s="41"/>
    </row>
    <row r="4788" spans="1:1" x14ac:dyDescent="0.6">
      <c r="A4788" s="41"/>
    </row>
    <row r="4789" spans="1:1" x14ac:dyDescent="0.6">
      <c r="A4789" s="41"/>
    </row>
    <row r="4790" spans="1:1" x14ac:dyDescent="0.6">
      <c r="A4790" s="41"/>
    </row>
    <row r="4791" spans="1:1" x14ac:dyDescent="0.6">
      <c r="A4791" s="41"/>
    </row>
    <row r="4792" spans="1:1" x14ac:dyDescent="0.6">
      <c r="A4792" s="41"/>
    </row>
    <row r="4793" spans="1:1" x14ac:dyDescent="0.6">
      <c r="A4793" s="41"/>
    </row>
    <row r="4794" spans="1:1" x14ac:dyDescent="0.6">
      <c r="A4794" s="41"/>
    </row>
    <row r="4795" spans="1:1" x14ac:dyDescent="0.6">
      <c r="A4795" s="41"/>
    </row>
    <row r="4796" spans="1:1" x14ac:dyDescent="0.6">
      <c r="A4796" s="41"/>
    </row>
    <row r="4797" spans="1:1" x14ac:dyDescent="0.6">
      <c r="A4797" s="41"/>
    </row>
    <row r="4798" spans="1:1" x14ac:dyDescent="0.6">
      <c r="A4798" s="41"/>
    </row>
    <row r="4799" spans="1:1" x14ac:dyDescent="0.6">
      <c r="A4799" s="41"/>
    </row>
    <row r="4800" spans="1:1" x14ac:dyDescent="0.6">
      <c r="A4800" s="41"/>
    </row>
    <row r="4801" spans="1:1" x14ac:dyDescent="0.6">
      <c r="A4801" s="41"/>
    </row>
    <row r="4802" spans="1:1" x14ac:dyDescent="0.6">
      <c r="A4802" s="41"/>
    </row>
    <row r="4803" spans="1:1" x14ac:dyDescent="0.6">
      <c r="A4803" s="41"/>
    </row>
    <row r="4804" spans="1:1" x14ac:dyDescent="0.6">
      <c r="A4804" s="41"/>
    </row>
    <row r="4805" spans="1:1" x14ac:dyDescent="0.6">
      <c r="A4805" s="41"/>
    </row>
    <row r="4806" spans="1:1" x14ac:dyDescent="0.6">
      <c r="A4806" s="41"/>
    </row>
    <row r="4807" spans="1:1" x14ac:dyDescent="0.6">
      <c r="A4807" s="41"/>
    </row>
    <row r="4808" spans="1:1" x14ac:dyDescent="0.6">
      <c r="A4808" s="41"/>
    </row>
    <row r="4809" spans="1:1" x14ac:dyDescent="0.6">
      <c r="A4809" s="41"/>
    </row>
    <row r="4810" spans="1:1" x14ac:dyDescent="0.6">
      <c r="A4810" s="41"/>
    </row>
    <row r="4811" spans="1:1" x14ac:dyDescent="0.6">
      <c r="A4811" s="41"/>
    </row>
    <row r="4812" spans="1:1" x14ac:dyDescent="0.6">
      <c r="A4812" s="41"/>
    </row>
    <row r="4813" spans="1:1" x14ac:dyDescent="0.6">
      <c r="A4813" s="41"/>
    </row>
    <row r="4814" spans="1:1" x14ac:dyDescent="0.6">
      <c r="A4814" s="41"/>
    </row>
    <row r="4815" spans="1:1" x14ac:dyDescent="0.6">
      <c r="A4815" s="41"/>
    </row>
    <row r="4816" spans="1:1" x14ac:dyDescent="0.6">
      <c r="A4816" s="41"/>
    </row>
    <row r="4817" spans="1:1" x14ac:dyDescent="0.6">
      <c r="A4817" s="41"/>
    </row>
    <row r="4818" spans="1:1" x14ac:dyDescent="0.6">
      <c r="A4818" s="41"/>
    </row>
    <row r="4819" spans="1:1" x14ac:dyDescent="0.6">
      <c r="A4819" s="41"/>
    </row>
    <row r="4820" spans="1:1" x14ac:dyDescent="0.6">
      <c r="A4820" s="41"/>
    </row>
    <row r="4821" spans="1:1" x14ac:dyDescent="0.6">
      <c r="A4821" s="41"/>
    </row>
    <row r="4822" spans="1:1" x14ac:dyDescent="0.6">
      <c r="A4822" s="41"/>
    </row>
    <row r="4823" spans="1:1" x14ac:dyDescent="0.6">
      <c r="A4823" s="41"/>
    </row>
    <row r="4824" spans="1:1" x14ac:dyDescent="0.6">
      <c r="A4824" s="41"/>
    </row>
    <row r="4825" spans="1:1" x14ac:dyDescent="0.6">
      <c r="A4825" s="41"/>
    </row>
    <row r="4826" spans="1:1" x14ac:dyDescent="0.6">
      <c r="A4826" s="41"/>
    </row>
    <row r="4827" spans="1:1" x14ac:dyDescent="0.6">
      <c r="A4827" s="41"/>
    </row>
    <row r="4828" spans="1:1" x14ac:dyDescent="0.6">
      <c r="A4828" s="41"/>
    </row>
    <row r="4829" spans="1:1" x14ac:dyDescent="0.6">
      <c r="A4829" s="41"/>
    </row>
    <row r="4830" spans="1:1" x14ac:dyDescent="0.6">
      <c r="A4830" s="41"/>
    </row>
    <row r="4831" spans="1:1" x14ac:dyDescent="0.6">
      <c r="A4831" s="41"/>
    </row>
    <row r="4832" spans="1:1" x14ac:dyDescent="0.6">
      <c r="A4832" s="41"/>
    </row>
    <row r="4833" spans="1:1" x14ac:dyDescent="0.6">
      <c r="A4833" s="41"/>
    </row>
    <row r="4834" spans="1:1" x14ac:dyDescent="0.6">
      <c r="A4834" s="41"/>
    </row>
    <row r="4835" spans="1:1" x14ac:dyDescent="0.6">
      <c r="A4835" s="41"/>
    </row>
    <row r="4836" spans="1:1" x14ac:dyDescent="0.6">
      <c r="A4836" s="41"/>
    </row>
    <row r="4837" spans="1:1" x14ac:dyDescent="0.6">
      <c r="A4837" s="41"/>
    </row>
    <row r="4838" spans="1:1" x14ac:dyDescent="0.6">
      <c r="A4838" s="41"/>
    </row>
    <row r="4839" spans="1:1" x14ac:dyDescent="0.6">
      <c r="A4839" s="41"/>
    </row>
    <row r="4840" spans="1:1" x14ac:dyDescent="0.6">
      <c r="A4840" s="41"/>
    </row>
    <row r="4841" spans="1:1" x14ac:dyDescent="0.6">
      <c r="A4841" s="41"/>
    </row>
    <row r="4842" spans="1:1" x14ac:dyDescent="0.6">
      <c r="A4842" s="41"/>
    </row>
    <row r="4843" spans="1:1" x14ac:dyDescent="0.6">
      <c r="A4843" s="41"/>
    </row>
    <row r="4844" spans="1:1" x14ac:dyDescent="0.6">
      <c r="A4844" s="41"/>
    </row>
    <row r="4845" spans="1:1" x14ac:dyDescent="0.6">
      <c r="A4845" s="41"/>
    </row>
    <row r="4846" spans="1:1" x14ac:dyDescent="0.6">
      <c r="A4846" s="41"/>
    </row>
    <row r="4847" spans="1:1" x14ac:dyDescent="0.6">
      <c r="A4847" s="41"/>
    </row>
    <row r="4848" spans="1:1" x14ac:dyDescent="0.6">
      <c r="A4848" s="41"/>
    </row>
    <row r="4849" spans="1:1" x14ac:dyDescent="0.6">
      <c r="A4849" s="41"/>
    </row>
    <row r="4850" spans="1:1" x14ac:dyDescent="0.6">
      <c r="A4850" s="41"/>
    </row>
    <row r="4851" spans="1:1" x14ac:dyDescent="0.6">
      <c r="A4851" s="41"/>
    </row>
    <row r="4852" spans="1:1" x14ac:dyDescent="0.6">
      <c r="A4852" s="41"/>
    </row>
    <row r="4853" spans="1:1" x14ac:dyDescent="0.6">
      <c r="A4853" s="41"/>
    </row>
    <row r="4854" spans="1:1" x14ac:dyDescent="0.6">
      <c r="A4854" s="41"/>
    </row>
    <row r="4855" spans="1:1" x14ac:dyDescent="0.6">
      <c r="A4855" s="41"/>
    </row>
    <row r="4856" spans="1:1" x14ac:dyDescent="0.6">
      <c r="A4856" s="41"/>
    </row>
    <row r="4857" spans="1:1" x14ac:dyDescent="0.6">
      <c r="A4857" s="41"/>
    </row>
    <row r="4858" spans="1:1" x14ac:dyDescent="0.6">
      <c r="A4858" s="41"/>
    </row>
    <row r="4859" spans="1:1" x14ac:dyDescent="0.6">
      <c r="A4859" s="41"/>
    </row>
    <row r="4860" spans="1:1" x14ac:dyDescent="0.6">
      <c r="A4860" s="41"/>
    </row>
    <row r="4861" spans="1:1" x14ac:dyDescent="0.6">
      <c r="A4861" s="41"/>
    </row>
    <row r="4862" spans="1:1" x14ac:dyDescent="0.6">
      <c r="A4862" s="41"/>
    </row>
    <row r="4863" spans="1:1" x14ac:dyDescent="0.6">
      <c r="A4863" s="41"/>
    </row>
    <row r="4864" spans="1:1" x14ac:dyDescent="0.6">
      <c r="A4864" s="41"/>
    </row>
    <row r="4865" spans="1:1" x14ac:dyDescent="0.6">
      <c r="A4865" s="41"/>
    </row>
    <row r="4866" spans="1:1" x14ac:dyDescent="0.6">
      <c r="A4866" s="41"/>
    </row>
    <row r="4867" spans="1:1" x14ac:dyDescent="0.6">
      <c r="A4867" s="41"/>
    </row>
    <row r="4868" spans="1:1" x14ac:dyDescent="0.6">
      <c r="A4868" s="41"/>
    </row>
    <row r="4869" spans="1:1" x14ac:dyDescent="0.6">
      <c r="A4869" s="41"/>
    </row>
    <row r="4870" spans="1:1" x14ac:dyDescent="0.6">
      <c r="A4870" s="41"/>
    </row>
    <row r="4871" spans="1:1" x14ac:dyDescent="0.6">
      <c r="A4871" s="41"/>
    </row>
    <row r="4872" spans="1:1" x14ac:dyDescent="0.6">
      <c r="A4872" s="41"/>
    </row>
    <row r="4873" spans="1:1" x14ac:dyDescent="0.6">
      <c r="A4873" s="41"/>
    </row>
    <row r="4874" spans="1:1" x14ac:dyDescent="0.6">
      <c r="A4874" s="41"/>
    </row>
    <row r="4875" spans="1:1" x14ac:dyDescent="0.6">
      <c r="A4875" s="41"/>
    </row>
    <row r="4876" spans="1:1" x14ac:dyDescent="0.6">
      <c r="A4876" s="41"/>
    </row>
    <row r="4877" spans="1:1" x14ac:dyDescent="0.6">
      <c r="A4877" s="41"/>
    </row>
    <row r="4878" spans="1:1" x14ac:dyDescent="0.6">
      <c r="A4878" s="41"/>
    </row>
    <row r="4879" spans="1:1" x14ac:dyDescent="0.6">
      <c r="A4879" s="41"/>
    </row>
    <row r="4880" spans="1:1" x14ac:dyDescent="0.6">
      <c r="A4880" s="41"/>
    </row>
    <row r="4881" spans="1:1" x14ac:dyDescent="0.6">
      <c r="A4881" s="41"/>
    </row>
    <row r="4882" spans="1:1" x14ac:dyDescent="0.6">
      <c r="A4882" s="41"/>
    </row>
    <row r="4883" spans="1:1" x14ac:dyDescent="0.6">
      <c r="A4883" s="41"/>
    </row>
    <row r="4884" spans="1:1" x14ac:dyDescent="0.6">
      <c r="A4884" s="41"/>
    </row>
    <row r="4885" spans="1:1" x14ac:dyDescent="0.6">
      <c r="A4885" s="41"/>
    </row>
    <row r="4886" spans="1:1" x14ac:dyDescent="0.6">
      <c r="A4886" s="41"/>
    </row>
    <row r="4887" spans="1:1" x14ac:dyDescent="0.6">
      <c r="A4887" s="41"/>
    </row>
    <row r="4888" spans="1:1" x14ac:dyDescent="0.6">
      <c r="A4888" s="41"/>
    </row>
    <row r="4889" spans="1:1" x14ac:dyDescent="0.6">
      <c r="A4889" s="41"/>
    </row>
    <row r="4890" spans="1:1" x14ac:dyDescent="0.6">
      <c r="A4890" s="41"/>
    </row>
    <row r="4891" spans="1:1" x14ac:dyDescent="0.6">
      <c r="A4891" s="41"/>
    </row>
    <row r="4892" spans="1:1" x14ac:dyDescent="0.6">
      <c r="A4892" s="41"/>
    </row>
    <row r="4893" spans="1:1" x14ac:dyDescent="0.6">
      <c r="A4893" s="41"/>
    </row>
    <row r="4894" spans="1:1" x14ac:dyDescent="0.6">
      <c r="A4894" s="41"/>
    </row>
    <row r="4895" spans="1:1" x14ac:dyDescent="0.6">
      <c r="A4895" s="41"/>
    </row>
    <row r="4896" spans="1:1" x14ac:dyDescent="0.6">
      <c r="A4896" s="41"/>
    </row>
    <row r="4897" spans="1:1" x14ac:dyDescent="0.6">
      <c r="A4897" s="41"/>
    </row>
    <row r="4898" spans="1:1" x14ac:dyDescent="0.6">
      <c r="A4898" s="41"/>
    </row>
    <row r="4899" spans="1:1" x14ac:dyDescent="0.6">
      <c r="A4899" s="41"/>
    </row>
    <row r="4900" spans="1:1" x14ac:dyDescent="0.6">
      <c r="A4900" s="41"/>
    </row>
    <row r="4901" spans="1:1" x14ac:dyDescent="0.6">
      <c r="A4901" s="41"/>
    </row>
    <row r="4902" spans="1:1" x14ac:dyDescent="0.6">
      <c r="A4902" s="41"/>
    </row>
    <row r="4903" spans="1:1" x14ac:dyDescent="0.6">
      <c r="A4903" s="41"/>
    </row>
    <row r="4904" spans="1:1" x14ac:dyDescent="0.6">
      <c r="A4904" s="41"/>
    </row>
    <row r="4905" spans="1:1" x14ac:dyDescent="0.6">
      <c r="A4905" s="41"/>
    </row>
    <row r="4906" spans="1:1" x14ac:dyDescent="0.6">
      <c r="A4906" s="41"/>
    </row>
    <row r="4907" spans="1:1" x14ac:dyDescent="0.6">
      <c r="A4907" s="41"/>
    </row>
    <row r="4908" spans="1:1" x14ac:dyDescent="0.6">
      <c r="A4908" s="41"/>
    </row>
    <row r="4909" spans="1:1" x14ac:dyDescent="0.6">
      <c r="A4909" s="41"/>
    </row>
    <row r="4910" spans="1:1" x14ac:dyDescent="0.6">
      <c r="A4910" s="41"/>
    </row>
    <row r="4911" spans="1:1" x14ac:dyDescent="0.6">
      <c r="A4911" s="41"/>
    </row>
    <row r="4912" spans="1:1" x14ac:dyDescent="0.6">
      <c r="A4912" s="41"/>
    </row>
    <row r="4913" spans="1:1" x14ac:dyDescent="0.6">
      <c r="A4913" s="41"/>
    </row>
    <row r="4914" spans="1:1" x14ac:dyDescent="0.6">
      <c r="A4914" s="41"/>
    </row>
    <row r="4915" spans="1:1" x14ac:dyDescent="0.6">
      <c r="A4915" s="41"/>
    </row>
    <row r="4916" spans="1:1" x14ac:dyDescent="0.6">
      <c r="A4916" s="41"/>
    </row>
    <row r="4917" spans="1:1" x14ac:dyDescent="0.6">
      <c r="A4917" s="41"/>
    </row>
    <row r="4918" spans="1:1" x14ac:dyDescent="0.6">
      <c r="A4918" s="41"/>
    </row>
    <row r="4919" spans="1:1" x14ac:dyDescent="0.6">
      <c r="A4919" s="41"/>
    </row>
    <row r="4920" spans="1:1" x14ac:dyDescent="0.6">
      <c r="A4920" s="41"/>
    </row>
    <row r="4921" spans="1:1" x14ac:dyDescent="0.6">
      <c r="A4921" s="41"/>
    </row>
    <row r="4922" spans="1:1" x14ac:dyDescent="0.6">
      <c r="A4922" s="41"/>
    </row>
    <row r="4923" spans="1:1" x14ac:dyDescent="0.6">
      <c r="A4923" s="41"/>
    </row>
    <row r="4924" spans="1:1" x14ac:dyDescent="0.6">
      <c r="A4924" s="41"/>
    </row>
    <row r="4925" spans="1:1" x14ac:dyDescent="0.6">
      <c r="A4925" s="41"/>
    </row>
    <row r="4926" spans="1:1" x14ac:dyDescent="0.6">
      <c r="A4926" s="41"/>
    </row>
    <row r="4927" spans="1:1" x14ac:dyDescent="0.6">
      <c r="A4927" s="41"/>
    </row>
    <row r="4928" spans="1:1" x14ac:dyDescent="0.6">
      <c r="A4928" s="41"/>
    </row>
    <row r="4929" spans="1:1" x14ac:dyDescent="0.6">
      <c r="A4929" s="41"/>
    </row>
    <row r="4930" spans="1:1" x14ac:dyDescent="0.6">
      <c r="A4930" s="41"/>
    </row>
    <row r="4931" spans="1:1" x14ac:dyDescent="0.6">
      <c r="A4931" s="41"/>
    </row>
    <row r="4932" spans="1:1" x14ac:dyDescent="0.6">
      <c r="A4932" s="41"/>
    </row>
    <row r="4933" spans="1:1" x14ac:dyDescent="0.6">
      <c r="A4933" s="41"/>
    </row>
    <row r="4934" spans="1:1" x14ac:dyDescent="0.6">
      <c r="A4934" s="41"/>
    </row>
    <row r="4935" spans="1:1" x14ac:dyDescent="0.6">
      <c r="A4935" s="41"/>
    </row>
    <row r="4936" spans="1:1" x14ac:dyDescent="0.6">
      <c r="A4936" s="41"/>
    </row>
    <row r="4937" spans="1:1" x14ac:dyDescent="0.6">
      <c r="A4937" s="41"/>
    </row>
    <row r="4938" spans="1:1" x14ac:dyDescent="0.6">
      <c r="A4938" s="41"/>
    </row>
    <row r="4939" spans="1:1" x14ac:dyDescent="0.6">
      <c r="A4939" s="41"/>
    </row>
    <row r="4940" spans="1:1" x14ac:dyDescent="0.6">
      <c r="A4940" s="41"/>
    </row>
    <row r="4941" spans="1:1" x14ac:dyDescent="0.6">
      <c r="A4941" s="41"/>
    </row>
    <row r="4942" spans="1:1" x14ac:dyDescent="0.6">
      <c r="A4942" s="41"/>
    </row>
    <row r="4943" spans="1:1" x14ac:dyDescent="0.6">
      <c r="A4943" s="41"/>
    </row>
    <row r="4944" spans="1:1" x14ac:dyDescent="0.6">
      <c r="A4944" s="41"/>
    </row>
    <row r="4945" spans="1:1" x14ac:dyDescent="0.6">
      <c r="A4945" s="41"/>
    </row>
    <row r="4946" spans="1:1" x14ac:dyDescent="0.6">
      <c r="A4946" s="41"/>
    </row>
    <row r="4947" spans="1:1" x14ac:dyDescent="0.6">
      <c r="A4947" s="41"/>
    </row>
    <row r="4948" spans="1:1" x14ac:dyDescent="0.6">
      <c r="A4948" s="41"/>
    </row>
    <row r="4949" spans="1:1" x14ac:dyDescent="0.6">
      <c r="A4949" s="41"/>
    </row>
    <row r="4950" spans="1:1" x14ac:dyDescent="0.6">
      <c r="A4950" s="41"/>
    </row>
    <row r="4951" spans="1:1" x14ac:dyDescent="0.6">
      <c r="A4951" s="41"/>
    </row>
    <row r="4952" spans="1:1" x14ac:dyDescent="0.6">
      <c r="A4952" s="41"/>
    </row>
    <row r="4953" spans="1:1" x14ac:dyDescent="0.6">
      <c r="A4953" s="41"/>
    </row>
    <row r="4954" spans="1:1" x14ac:dyDescent="0.6">
      <c r="A4954" s="41"/>
    </row>
    <row r="4955" spans="1:1" x14ac:dyDescent="0.6">
      <c r="A4955" s="41"/>
    </row>
    <row r="4956" spans="1:1" x14ac:dyDescent="0.6">
      <c r="A4956" s="41"/>
    </row>
    <row r="4957" spans="1:1" x14ac:dyDescent="0.6">
      <c r="A4957" s="41"/>
    </row>
    <row r="4958" spans="1:1" x14ac:dyDescent="0.6">
      <c r="A4958" s="41"/>
    </row>
    <row r="4959" spans="1:1" x14ac:dyDescent="0.6">
      <c r="A4959" s="41"/>
    </row>
    <row r="4960" spans="1:1" x14ac:dyDescent="0.6">
      <c r="A4960" s="41"/>
    </row>
    <row r="4961" spans="1:1" x14ac:dyDescent="0.6">
      <c r="A4961" s="41"/>
    </row>
    <row r="4962" spans="1:1" x14ac:dyDescent="0.6">
      <c r="A4962" s="41"/>
    </row>
    <row r="4963" spans="1:1" x14ac:dyDescent="0.6">
      <c r="A4963" s="41"/>
    </row>
    <row r="4964" spans="1:1" x14ac:dyDescent="0.6">
      <c r="A4964" s="41"/>
    </row>
    <row r="4965" spans="1:1" x14ac:dyDescent="0.6">
      <c r="A4965" s="41"/>
    </row>
    <row r="4966" spans="1:1" x14ac:dyDescent="0.6">
      <c r="A4966" s="41"/>
    </row>
    <row r="4967" spans="1:1" x14ac:dyDescent="0.6">
      <c r="A4967" s="41"/>
    </row>
    <row r="4968" spans="1:1" x14ac:dyDescent="0.6">
      <c r="A4968" s="41"/>
    </row>
    <row r="4969" spans="1:1" x14ac:dyDescent="0.6">
      <c r="A4969" s="41"/>
    </row>
    <row r="4970" spans="1:1" x14ac:dyDescent="0.6">
      <c r="A4970" s="41"/>
    </row>
    <row r="4971" spans="1:1" x14ac:dyDescent="0.6">
      <c r="A4971" s="41"/>
    </row>
    <row r="4972" spans="1:1" x14ac:dyDescent="0.6">
      <c r="A4972" s="41"/>
    </row>
    <row r="4973" spans="1:1" x14ac:dyDescent="0.6">
      <c r="A4973" s="41"/>
    </row>
    <row r="4974" spans="1:1" x14ac:dyDescent="0.6">
      <c r="A4974" s="41"/>
    </row>
    <row r="4975" spans="1:1" x14ac:dyDescent="0.6">
      <c r="A4975" s="41"/>
    </row>
    <row r="4976" spans="1:1" x14ac:dyDescent="0.6">
      <c r="A4976" s="41"/>
    </row>
    <row r="4977" spans="1:1" x14ac:dyDescent="0.6">
      <c r="A4977" s="41"/>
    </row>
    <row r="4978" spans="1:1" x14ac:dyDescent="0.6">
      <c r="A4978" s="41"/>
    </row>
    <row r="4979" spans="1:1" x14ac:dyDescent="0.6">
      <c r="A4979" s="41"/>
    </row>
    <row r="4980" spans="1:1" x14ac:dyDescent="0.6">
      <c r="A4980" s="41"/>
    </row>
    <row r="4981" spans="1:1" x14ac:dyDescent="0.6">
      <c r="A4981" s="41"/>
    </row>
    <row r="4982" spans="1:1" x14ac:dyDescent="0.6">
      <c r="A4982" s="41"/>
    </row>
    <row r="4983" spans="1:1" x14ac:dyDescent="0.6">
      <c r="A4983" s="41"/>
    </row>
    <row r="4984" spans="1:1" x14ac:dyDescent="0.6">
      <c r="A4984" s="41"/>
    </row>
    <row r="4985" spans="1:1" x14ac:dyDescent="0.6">
      <c r="A4985" s="41"/>
    </row>
    <row r="4986" spans="1:1" x14ac:dyDescent="0.6">
      <c r="A4986" s="41"/>
    </row>
    <row r="4987" spans="1:1" x14ac:dyDescent="0.6">
      <c r="A4987" s="41"/>
    </row>
    <row r="4988" spans="1:1" x14ac:dyDescent="0.6">
      <c r="A4988" s="41"/>
    </row>
    <row r="4989" spans="1:1" x14ac:dyDescent="0.6">
      <c r="A4989" s="41"/>
    </row>
    <row r="4990" spans="1:1" x14ac:dyDescent="0.6">
      <c r="A4990" s="41"/>
    </row>
    <row r="4991" spans="1:1" x14ac:dyDescent="0.6">
      <c r="A4991" s="41"/>
    </row>
    <row r="4992" spans="1:1" x14ac:dyDescent="0.6">
      <c r="A4992" s="41"/>
    </row>
    <row r="4993" spans="1:1" x14ac:dyDescent="0.6">
      <c r="A4993" s="41"/>
    </row>
    <row r="4994" spans="1:1" x14ac:dyDescent="0.6">
      <c r="A4994" s="41"/>
    </row>
    <row r="4995" spans="1:1" x14ac:dyDescent="0.6">
      <c r="A4995" s="41"/>
    </row>
    <row r="4996" spans="1:1" x14ac:dyDescent="0.6">
      <c r="A4996" s="41"/>
    </row>
    <row r="4997" spans="1:1" x14ac:dyDescent="0.6">
      <c r="A4997" s="41"/>
    </row>
    <row r="4998" spans="1:1" x14ac:dyDescent="0.6">
      <c r="A4998" s="41"/>
    </row>
    <row r="4999" spans="1:1" x14ac:dyDescent="0.6">
      <c r="A4999" s="41"/>
    </row>
    <row r="5000" spans="1:1" x14ac:dyDescent="0.6">
      <c r="A5000" s="41"/>
    </row>
    <row r="5001" spans="1:1" x14ac:dyDescent="0.6">
      <c r="A5001" s="41"/>
    </row>
    <row r="5002" spans="1:1" x14ac:dyDescent="0.6">
      <c r="A5002" s="41"/>
    </row>
    <row r="5003" spans="1:1" x14ac:dyDescent="0.6">
      <c r="A5003" s="41"/>
    </row>
    <row r="5004" spans="1:1" x14ac:dyDescent="0.6">
      <c r="A5004" s="41"/>
    </row>
    <row r="5005" spans="1:1" x14ac:dyDescent="0.6">
      <c r="A5005" s="41"/>
    </row>
    <row r="5006" spans="1:1" x14ac:dyDescent="0.6">
      <c r="A5006" s="41"/>
    </row>
    <row r="5007" spans="1:1" x14ac:dyDescent="0.6">
      <c r="A5007" s="41"/>
    </row>
    <row r="5008" spans="1:1" x14ac:dyDescent="0.6">
      <c r="A5008" s="41"/>
    </row>
  </sheetData>
  <dataValidations count="12">
    <dataValidation allowBlank="1" showErrorMessage="1" promptTitle="TRAFO" prompt="$A$1:$B$505" sqref="A1" xr:uid="{F62D71EE-7766-4FBB-8121-F220ED5966DC}"/>
    <dataValidation allowBlank="1" showErrorMessage="1" promptTitle="TRAFO" prompt="$C$1:$C$505" sqref="C1" xr:uid="{9090ABF5-E04D-40FB-99B5-13E6312EE135}"/>
    <dataValidation allowBlank="1" showErrorMessage="1" promptTitle="TRAFO" prompt="$D$1:$D$505" sqref="D1" xr:uid="{C44F7EC5-2317-4E05-9341-336290233A17}"/>
    <dataValidation allowBlank="1" showErrorMessage="1" promptTitle="TRAFO" prompt="$E$1:$E$505" sqref="E1" xr:uid="{F7927D5C-2BCE-4DFC-8D9F-C09AF9EADE3E}"/>
    <dataValidation allowBlank="1" showErrorMessage="1" promptTitle="TRAFO" prompt="$F$1:$F$505" sqref="F1" xr:uid="{F01F50F6-DB2E-4A42-8210-F2129C678D91}"/>
    <dataValidation allowBlank="1" showErrorMessage="1" promptTitle="TRAFO" prompt="$G$1:$G$505" sqref="G1" xr:uid="{9113A07A-36F5-4877-86E6-AC0C6BF2C67C}"/>
    <dataValidation allowBlank="1" showErrorMessage="1" promptTitle="TRAFO" prompt="$H$1:$H$505" sqref="H1" xr:uid="{BB35B27D-18C4-455C-864F-098C6120A8D3}"/>
    <dataValidation allowBlank="1" showErrorMessage="1" promptTitle="TRAFO" prompt="$I$1:$I$505" sqref="I1" xr:uid="{802BC4E7-85DD-46FD-9FB6-8CEAE4076C69}"/>
    <dataValidation allowBlank="1" showErrorMessage="1" promptTitle="TRAFO" prompt="$J$1:$J$505" sqref="J1" xr:uid="{F10A241B-81D5-4E21-8826-3CBC84ED3A90}"/>
    <dataValidation allowBlank="1" showErrorMessage="1" promptTitle="TRAFO" prompt="$K$1:$K$505" sqref="K1" xr:uid="{DC24A38A-266A-4CF9-BB51-B6E95A872481}"/>
    <dataValidation allowBlank="1" showErrorMessage="1" promptTitle="TRAFO" prompt="$L$1:$L$505" sqref="L1" xr:uid="{ECC9ECF2-9483-4683-BB0E-1FE05B522A39}"/>
    <dataValidation allowBlank="1" showErrorMessage="1" promptTitle="TRAFO" prompt="$M$1:$M$505" sqref="M1" xr:uid="{803F3E1D-85CB-4112-AC6E-1730366BC047}"/>
  </dataValidations>
  <pageMargins left="0.78740157499999996" right="0.78740157499999996" top="0.984251969" bottom="0.984251969" header="0.4921259845" footer="0.4921259845"/>
  <headerFooter alignWithMargins="0"/>
  <customProperties>
    <customPr name="REFI_OFFICE_FUNCTION_DATA" r:id="rId1"/>
  </customPropertie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B58DC66E75B7749B5CE946B2C882523" ma:contentTypeVersion="19" ma:contentTypeDescription="Crée un document." ma:contentTypeScope="" ma:versionID="9ee8c7016904c85fbe286f1ce20bc200">
  <xsd:schema xmlns:xsd="http://www.w3.org/2001/XMLSchema" xmlns:xs="http://www.w3.org/2001/XMLSchema" xmlns:p="http://schemas.microsoft.com/office/2006/metadata/properties" xmlns:ns2="1c9deb53-94db-4b73-9ae6-15c329fa8eb1" xmlns:ns3="b850f22f-a0b2-40ca-bc0b-df9233b85d31" targetNamespace="http://schemas.microsoft.com/office/2006/metadata/properties" ma:root="true" ma:fieldsID="a72b439b87b7f0c313d7e767e11ac8c4" ns2:_="" ns3:_="">
    <xsd:import namespace="1c9deb53-94db-4b73-9ae6-15c329fa8eb1"/>
    <xsd:import namespace="b850f22f-a0b2-40ca-bc0b-df9233b85d3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9deb53-94db-4b73-9ae6-15c329fa8e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b3b4e84d-85dd-4155-8d3a-80a7b4153c7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50f22f-a0b2-40ca-bc0b-df9233b85d3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20c0a5c-b577-444a-9c5d-95bdec8397c6}" ma:internalName="TaxCatchAll" ma:showField="CatchAllData" ma:web="b850f22f-a0b2-40ca-bc0b-df9233b85d3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c9deb53-94db-4b73-9ae6-15c329fa8eb1">
      <Terms xmlns="http://schemas.microsoft.com/office/infopath/2007/PartnerControls"/>
    </lcf76f155ced4ddcb4097134ff3c332f>
    <TaxCatchAll xmlns="b850f22f-a0b2-40ca-bc0b-df9233b85d31" xsi:nil="true"/>
  </documentManagement>
</p:properties>
</file>

<file path=customXml/itemProps1.xml><?xml version="1.0" encoding="utf-8"?>
<ds:datastoreItem xmlns:ds="http://schemas.openxmlformats.org/officeDocument/2006/customXml" ds:itemID="{F37302D1-1FA4-4C27-AD10-18919979D83C}"/>
</file>

<file path=customXml/itemProps2.xml><?xml version="1.0" encoding="utf-8"?>
<ds:datastoreItem xmlns:ds="http://schemas.openxmlformats.org/officeDocument/2006/customXml" ds:itemID="{F0F07E77-928B-48E7-B93C-E6E8E19EDD96}"/>
</file>

<file path=customXml/itemProps3.xml><?xml version="1.0" encoding="utf-8"?>
<ds:datastoreItem xmlns:ds="http://schemas.openxmlformats.org/officeDocument/2006/customXml" ds:itemID="{1D09FD8E-BCF8-4E99-A328-40078DA1BEE9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REQUEST_TABLE</vt:lpstr>
      <vt:lpstr>data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Kumar, Prabhat</dc:creator>
  <cp:lastModifiedBy>Catherine DENIS</cp:lastModifiedBy>
  <dcterms:created xsi:type="dcterms:W3CDTF">2011-08-01T12:44:02Z</dcterms:created>
  <dcterms:modified xsi:type="dcterms:W3CDTF">2025-12-08T20:04:02Z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0x010100EB58DC66E75B7749B5CE946B2C882523</vt:lpwstr>
  </property>
</Properties>
</file>